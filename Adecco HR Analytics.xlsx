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0" documentId="8_{55AFE9CF-1949-46AB-9D7B-5E6B96F55217}" xr6:coauthVersionLast="47" xr6:coauthVersionMax="47" xr10:uidLastSave="{00000000-0000-0000-0000-000000000000}"/>
  <bookViews>
    <workbookView xWindow="-108" yWindow="-108" windowWidth="23256" windowHeight="12456" activeTab="6" xr2:uid="{432AF872-F635-4470-ACA3-20B3E361B05B}"/>
  </bookViews>
  <sheets>
    <sheet name="Department Wise Attrition" sheetId="3" r:id="rId1"/>
    <sheet name="Job Satisfaction by Job Role" sheetId="4" r:id="rId2"/>
    <sheet name="Gender-wise Attrition" sheetId="5" r:id="rId3"/>
    <sheet name="Sheet5" sheetId="6" r:id="rId4"/>
    <sheet name="HR-Employee-Attrition" sheetId="2" r:id="rId5"/>
    <sheet name="Average Age Who left" sheetId="1" r:id="rId6"/>
    <sheet name="Sheet6" sheetId="7" r:id="rId7"/>
  </sheets>
  <definedNames>
    <definedName name="ExternalData_1" localSheetId="4" hidden="1">'HR-Employee-Attrition'!$A$1:$AI$1471</definedName>
  </definedNames>
  <calcPr calcId="191029"/>
  <pivotCaches>
    <pivotCache cacheId="6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7" l="1"/>
  <c r="A6" i="7"/>
  <c r="A4" i="7"/>
  <c r="A2" i="7"/>
  <c r="F8" i="1"/>
  <c r="F5" i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2" i="2"/>
  <c r="C11" i="1"/>
  <c r="C14" i="1"/>
  <c r="C8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6EBBF-B2A0-4682-9FD7-C41F3B4C1BDC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<sst xmlns="http://schemas.openxmlformats.org/spreadsheetml/2006/main" count="13385" uniqueCount="83">
  <si>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</si>
  <si>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</si>
  <si>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</si>
  <si>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</si>
  <si>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</si>
  <si>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</si>
  <si>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</si>
  <si>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</si>
  <si>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</si>
  <si>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</si>
  <si>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</si>
  <si>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</si>
  <si>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</si>
  <si>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</si>
  <si>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</si>
  <si>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</si>
  <si>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</si>
  <si>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</si>
  <si>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</si>
  <si>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</si>
  <si>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</si>
  <si>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</si>
  <si>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</si>
  <si>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</si>
  <si>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</si>
  <si>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</si>
  <si>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</si>
  <si>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</si>
  <si>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</si>
  <si>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</si>
  <si>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</si>
  <si>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</si>
  <si>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</si>
  <si>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</si>
  <si>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</si>
  <si>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</si>
  <si>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</si>
  <si>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</si>
  <si>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</si>
  <si>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</si>
  <si>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</si>
  <si>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</si>
  <si>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</si>
  <si>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</si>
  <si>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</si>
  <si>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</si>
  <si>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</si>
  <si>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</si>
  <si>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</si>
  <si>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</si>
  <si>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</si>
  <si>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</si>
  <si>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</si>
  <si>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</si>
  <si>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</si>
  <si>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</si>
  <si>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</si>
  <si>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</si>
  <si>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</si>
  <si>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</si>
  <si>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</si>
  <si>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</si>
  <si>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</si>
  <si>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</si>
  <si>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</si>
  <si>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Sum of EmployeeCount</t>
  </si>
  <si>
    <t>Total Sum of EmployeeCount</t>
  </si>
  <si>
    <t>Total Count of Attrition</t>
  </si>
  <si>
    <t>Count of Attrition</t>
  </si>
  <si>
    <t>Average Age of employee who left</t>
  </si>
  <si>
    <t>Average of JobSatisfaction</t>
  </si>
  <si>
    <t>Average Monthly Income of employees who left</t>
  </si>
  <si>
    <t>Employees Who Works Overtime</t>
  </si>
  <si>
    <t>Average Years at Company by employees</t>
  </si>
  <si>
    <t>Stock Option Level</t>
  </si>
  <si>
    <t>Training Time Last Year</t>
  </si>
  <si>
    <t>Job Involvement</t>
  </si>
  <si>
    <t>Marital Status</t>
  </si>
  <si>
    <t>Attrition Numeric</t>
  </si>
  <si>
    <t xml:space="preserve"> </t>
  </si>
  <si>
    <t>CORRELATIONS of Age with attrition</t>
  </si>
  <si>
    <t>CORRELATION of Monthly Income with attrition</t>
  </si>
  <si>
    <t>CORRELATION of years at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</si>
</sst>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Analytics.xlsx]Department Wise Attrition!PivotTable13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Wise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Wise Attrition'!$B$5:$B$8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D-4B0F-809D-23F177F791A5}"/>
            </c:ext>
          </c:extLst>
        </c:ser>
        <c:ser>
          <c:idx val="1"/>
          <c:order val="1"/>
          <c:tx>
            <c:strRef>
              <c:f>'Department Wise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Wise Attrition'!$C$5:$C$8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D-4B0F-809D-23F177F791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5024800"/>
        <c:axId val="855022400"/>
      </c:barChart>
      <c:catAx>
        <c:axId val="8550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22400"/>
        <c:crosses val="autoZero"/>
        <c:auto val="1"/>
        <c:lblAlgn val="ctr"/>
        <c:lblOffset val="100"/>
        <c:noMultiLvlLbl val="0"/>
      </c:catAx>
      <c:valAx>
        <c:axId val="8550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248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Analytics.xlsx]Department Wise Attrition!PivotTable13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'Department Wise Attrition'!$B$3:$B$4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'Department 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Wise Attrition'!$B$5:$B$8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F-4729-8139-2078FD266839}"/>
            </c:ext>
          </c:extLst>
        </c:ser>
        <c:ser>
          <c:idx val="1"/>
          <c:order val="1"/>
          <c:tx>
            <c:strRef>
              <c:f>'Department Wise Attrition'!$C$3:$C$4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'Department 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Wise Attrition'!$C$5:$C$8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F-4729-8139-2078FD2668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Analytics.xlsx]Job Satisfaction by Job Role!PivotTable14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 by Job Role'!$B$3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Satisfaction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Satisfaction by Job Role'!$B$4:$B$13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8-4BE9-8B3F-26C55487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786912"/>
        <c:axId val="1092779232"/>
      </c:barChart>
      <c:catAx>
        <c:axId val="10927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79232"/>
        <c:crosses val="autoZero"/>
        <c:auto val="1"/>
        <c:lblAlgn val="ctr"/>
        <c:lblOffset val="100"/>
        <c:noMultiLvlLbl val="0"/>
      </c:catAx>
      <c:valAx>
        <c:axId val="10927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Analytics.xlsx]Gender-wise Attrition!PivotTable15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'Gender-wise Attrition'!$B$3:$B$5</c:f>
              <c:strCache>
                <c:ptCount val="1"/>
                <c:pt idx="0">
                  <c:v>No - Sum of EmployeeCount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Attrition'!$B$6:$B$8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1-40C7-AC2D-F605105B212D}"/>
            </c:ext>
          </c:extLst>
        </c:ser>
        <c:ser>
          <c:idx val="1"/>
          <c:order val="1"/>
          <c:tx>
            <c:strRef>
              <c:f>'Gender-wise Attrition'!$C$3:$C$5</c:f>
              <c:strCache>
                <c:ptCount val="1"/>
                <c:pt idx="0">
                  <c:v>No - Count of Attrition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Attrition'!$C$6:$C$8</c:f>
              <c:numCache>
                <c:formatCode>0.00%</c:formatCode>
                <c:ptCount val="2"/>
                <c:pt idx="0">
                  <c:v>0.34081632653061222</c:v>
                </c:pt>
                <c:pt idx="1">
                  <c:v>0.49795918367346936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1-40C7-AC2D-F605105B212D}"/>
            </c:ext>
          </c:extLst>
        </c:ser>
        <c:ser>
          <c:idx val="2"/>
          <c:order val="2"/>
          <c:tx>
            <c:strRef>
              <c:f>'Gender-wise Attrition'!$D$3:$D$5</c:f>
              <c:strCache>
                <c:ptCount val="1"/>
                <c:pt idx="0">
                  <c:v>Yes - Sum of EmployeeCount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Attrition'!$D$6:$D$8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1-40C7-AC2D-F605105B212D}"/>
            </c:ext>
          </c:extLst>
        </c:ser>
        <c:ser>
          <c:idx val="3"/>
          <c:order val="3"/>
          <c:tx>
            <c:strRef>
              <c:f>'Gender-wise Attrition'!$E$3:$E$5</c:f>
              <c:strCache>
                <c:ptCount val="1"/>
                <c:pt idx="0">
                  <c:v>Yes - Count of Attrition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Attrition'!$E$6:$E$8</c:f>
              <c:numCache>
                <c:formatCode>0.00%</c:formatCode>
                <c:ptCount val="2"/>
                <c:pt idx="0">
                  <c:v>5.9183673469387757E-2</c:v>
                </c:pt>
                <c:pt idx="1">
                  <c:v>0.10204081632653061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E1-40C7-AC2D-F605105B21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Analytics.xlsx]Department Wise Attrition!PivotTable13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'Department Wise Attrition'!$B$3:$B$4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D1-4167-9269-702B458EC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D1-4167-9269-702B458EC4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D1-4167-9269-702B458EC49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'Department 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Wise Attrition'!$B$5:$B$8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D1-4167-9269-702B458EC49E}"/>
            </c:ext>
          </c:extLst>
        </c:ser>
        <c:ser>
          <c:idx val="1"/>
          <c:order val="1"/>
          <c:tx>
            <c:strRef>
              <c:f>'Department Wise Attrition'!$C$3:$C$4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7D1-4167-9269-702B458EC4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7D1-4167-9269-702B458EC4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7D1-4167-9269-702B458EC49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'Department Wise Attrition'!$A$5:$A$8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Wise Attrition'!$C$5:$C$8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D1-4167-9269-702B458EC4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Analytics.xlsx]Job Satisfaction by Job Role!PivotTable14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 by Job Role'!$B$3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Satisfaction by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Satisfaction by Job Role'!$B$4:$B$13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253-A226-F09097A6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786912"/>
        <c:axId val="1092779232"/>
      </c:barChart>
      <c:catAx>
        <c:axId val="10927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79232"/>
        <c:crosses val="autoZero"/>
        <c:auto val="1"/>
        <c:lblAlgn val="ctr"/>
        <c:lblOffset val="100"/>
        <c:noMultiLvlLbl val="0"/>
      </c:catAx>
      <c:valAx>
        <c:axId val="10927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Analytics.xlsx]Gender-wise Attrition!PivotTable15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Gender-Wise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'Gender-wise Attrition'!$B$3:$B$5</c:f>
              <c:strCache>
                <c:ptCount val="1"/>
                <c:pt idx="0">
                  <c:v>No - Sum of EmployeeCount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24-428B-83F0-7F330F64D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24-428B-83F0-7F330F64D7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Attrition'!$B$6:$B$8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24-428B-83F0-7F330F64D76F}"/>
            </c:ext>
          </c:extLst>
        </c:ser>
        <c:ser>
          <c:idx val="1"/>
          <c:order val="1"/>
          <c:tx>
            <c:strRef>
              <c:f>'Gender-wise Attrition'!$C$3:$C$5</c:f>
              <c:strCache>
                <c:ptCount val="1"/>
                <c:pt idx="0">
                  <c:v>No - Count of Attrition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124-428B-83F0-7F330F64D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124-428B-83F0-7F330F64D7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Attrition'!$C$6:$C$8</c:f>
              <c:numCache>
                <c:formatCode>0.00%</c:formatCode>
                <c:ptCount val="2"/>
                <c:pt idx="0">
                  <c:v>0.34081632653061222</c:v>
                </c:pt>
                <c:pt idx="1">
                  <c:v>0.49795918367346936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24-428B-83F0-7F330F64D76F}"/>
            </c:ext>
          </c:extLst>
        </c:ser>
        <c:ser>
          <c:idx val="2"/>
          <c:order val="2"/>
          <c:tx>
            <c:strRef>
              <c:f>'Gender-wise Attrition'!$D$3:$D$5</c:f>
              <c:strCache>
                <c:ptCount val="1"/>
                <c:pt idx="0">
                  <c:v>Yes - Sum of EmployeeCount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124-428B-83F0-7F330F64D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124-428B-83F0-7F330F64D7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Attrition'!$D$6:$D$8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24-428B-83F0-7F330F64D76F}"/>
            </c:ext>
          </c:extLst>
        </c:ser>
        <c:ser>
          <c:idx val="3"/>
          <c:order val="3"/>
          <c:tx>
            <c:strRef>
              <c:f>'Gender-wise Attrition'!$E$3:$E$5</c:f>
              <c:strCache>
                <c:ptCount val="1"/>
                <c:pt idx="0">
                  <c:v>Yes - Count of Attrition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124-428B-83F0-7F330F64D7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124-428B-83F0-7F330F64D7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Attrition'!$E$6:$E$8</c:f>
              <c:numCache>
                <c:formatCode>0.00%</c:formatCode>
                <c:ptCount val="2"/>
                <c:pt idx="0">
                  <c:v>5.9183673469387757E-2</c:v>
                </c:pt>
                <c:pt idx="1">
                  <c:v>0.10204081632653061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124-428B-83F0-7F330F64D76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510540</xdr:colOff>
      <xdr:row>1</xdr:row>
      <xdr:rowOff>60960</xdr:rowOff>
    </xdr:from>
    <xdr:to>
      <xdr:col>18</xdr:col>
      <xdr:colOff>342900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B17B6-D312-D074-71EC-5E6384739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1074420</xdr:colOff>
      <xdr:row>1</xdr:row>
      <xdr:rowOff>179070</xdr:rowOff>
    </xdr:from>
    <xdr:to>
      <xdr:col>8</xdr:col>
      <xdr:colOff>487680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13111-EC68-AE48-F3CB-17D153623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152400</xdr:rowOff>
    </xdr:from>
    <xdr:to>
      <xdr:col>14</xdr:col>
      <xdr:colOff>7620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908BE-B7BA-425A-F77C-3BE65E35F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10</xdr:row>
      <xdr:rowOff>60960</xdr:rowOff>
    </xdr:from>
    <xdr:to>
      <xdr:col>8</xdr:col>
      <xdr:colOff>76200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EA9E2-16B2-64A4-EC3D-2B1DB3F16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160020</xdr:rowOff>
    </xdr:from>
    <xdr:to>
      <xdr:col>3</xdr:col>
      <xdr:colOff>411480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AF331-42DB-4939-8F3F-1EFF5983E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24</xdr:row>
      <xdr:rowOff>60960</xdr:rowOff>
    </xdr:from>
    <xdr:to>
      <xdr:col>10</xdr:col>
      <xdr:colOff>358140</xdr:colOff>
      <xdr:row>41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8FBB6-98CD-400C-9973-4077F4994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12</xdr:row>
      <xdr:rowOff>91440</xdr:rowOff>
    </xdr:from>
    <xdr:to>
      <xdr:col>22</xdr:col>
      <xdr:colOff>601980</xdr:colOff>
      <xdr:row>41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C1B8CC-B15C-4221-9351-3AAFC9811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sharma" refreshedDate="46191.504332175929" createdVersion="8" refreshedVersion="8" minRefreshableVersion="3" recordCount="1470" xr:uid="{09CB984E-123B-4F40-83C6-422C4DFF8282}">
  <cacheSource type="worksheet">
    <worksheetSource name="WA_Fn_UseC__HR_Employee_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s v="Yes"/>
    <n v="11"/>
    <n v="3"/>
    <n v="1"/>
    <n v="80"/>
    <x v="0"/>
    <n v="8"/>
    <x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s v="No"/>
    <n v="23"/>
    <n v="4"/>
    <n v="4"/>
    <n v="80"/>
    <x v="1"/>
    <n v="10"/>
    <x v="1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s v="Yes"/>
    <n v="15"/>
    <n v="3"/>
    <n v="2"/>
    <n v="80"/>
    <x v="0"/>
    <n v="7"/>
    <x v="1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s v="Yes"/>
    <n v="11"/>
    <n v="3"/>
    <n v="3"/>
    <n v="80"/>
    <x v="0"/>
    <n v="8"/>
    <x v="1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s v="No"/>
    <n v="12"/>
    <n v="3"/>
    <n v="4"/>
    <n v="80"/>
    <x v="1"/>
    <n v="6"/>
    <x v="1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s v="No"/>
    <n v="13"/>
    <n v="3"/>
    <n v="3"/>
    <n v="80"/>
    <x v="0"/>
    <n v="8"/>
    <x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s v="Yes"/>
    <n v="20"/>
    <n v="4"/>
    <n v="1"/>
    <n v="80"/>
    <x v="2"/>
    <n v="12"/>
    <x v="1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s v="No"/>
    <n v="22"/>
    <n v="4"/>
    <n v="2"/>
    <n v="80"/>
    <x v="1"/>
    <n v="1"/>
    <x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s v="No"/>
    <n v="21"/>
    <n v="4"/>
    <n v="2"/>
    <n v="80"/>
    <x v="0"/>
    <n v="10"/>
    <x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s v="No"/>
    <n v="13"/>
    <n v="3"/>
    <n v="2"/>
    <n v="80"/>
    <x v="3"/>
    <n v="17"/>
    <x v="1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s v="No"/>
    <n v="13"/>
    <n v="3"/>
    <n v="3"/>
    <n v="80"/>
    <x v="1"/>
    <n v="6"/>
    <x v="3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s v="Yes"/>
    <n v="12"/>
    <n v="3"/>
    <n v="4"/>
    <n v="80"/>
    <x v="0"/>
    <n v="10"/>
    <x v="1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s v="No"/>
    <n v="17"/>
    <n v="3"/>
    <n v="4"/>
    <n v="80"/>
    <x v="1"/>
    <n v="5"/>
    <x v="4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s v="No"/>
    <n v="11"/>
    <n v="3"/>
    <n v="3"/>
    <n v="80"/>
    <x v="1"/>
    <n v="3"/>
    <x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s v="Yes"/>
    <n v="14"/>
    <n v="3"/>
    <n v="2"/>
    <n v="80"/>
    <x v="0"/>
    <n v="6"/>
    <x v="5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s v="No"/>
    <n v="11"/>
    <n v="3"/>
    <n v="3"/>
    <n v="80"/>
    <x v="1"/>
    <n v="10"/>
    <x v="4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s v="Yes"/>
    <n v="12"/>
    <n v="3"/>
    <n v="4"/>
    <n v="80"/>
    <x v="3"/>
    <n v="7"/>
    <x v="3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s v="Yes"/>
    <n v="13"/>
    <n v="3"/>
    <n v="2"/>
    <n v="80"/>
    <x v="3"/>
    <n v="1"/>
    <x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s v="No"/>
    <n v="16"/>
    <n v="3"/>
    <n v="3"/>
    <n v="80"/>
    <x v="0"/>
    <n v="31"/>
    <x v="1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s v="Yes"/>
    <n v="11"/>
    <n v="3"/>
    <n v="3"/>
    <n v="80"/>
    <x v="0"/>
    <n v="6"/>
    <x v="1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s v="No"/>
    <n v="18"/>
    <n v="3"/>
    <n v="4"/>
    <n v="80"/>
    <x v="1"/>
    <n v="5"/>
    <x v="3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s v="No"/>
    <n v="23"/>
    <n v="4"/>
    <n v="2"/>
    <n v="80"/>
    <x v="0"/>
    <n v="10"/>
    <x v="5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s v="No"/>
    <n v="11"/>
    <n v="3"/>
    <n v="3"/>
    <n v="80"/>
    <x v="0"/>
    <n v="13"/>
    <x v="5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s v="No"/>
    <n v="14"/>
    <n v="3"/>
    <n v="4"/>
    <n v="80"/>
    <x v="0"/>
    <n v="0"/>
    <x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s v="No"/>
    <n v="11"/>
    <n v="3"/>
    <n v="3"/>
    <n v="80"/>
    <x v="0"/>
    <n v="8"/>
    <x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s v="No"/>
    <n v="11"/>
    <n v="3"/>
    <n v="4"/>
    <n v="80"/>
    <x v="1"/>
    <n v="26"/>
    <x v="1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s v="Yes"/>
    <n v="22"/>
    <n v="4"/>
    <n v="2"/>
    <n v="80"/>
    <x v="0"/>
    <n v="10"/>
    <x v="3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s v="No"/>
    <n v="11"/>
    <n v="3"/>
    <n v="4"/>
    <n v="80"/>
    <x v="1"/>
    <n v="10"/>
    <x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s v="No"/>
    <n v="14"/>
    <n v="3"/>
    <n v="4"/>
    <n v="80"/>
    <x v="1"/>
    <n v="24"/>
    <x v="5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s v="No"/>
    <n v="12"/>
    <n v="3"/>
    <n v="4"/>
    <n v="80"/>
    <x v="0"/>
    <n v="22"/>
    <x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s v="No"/>
    <n v="11"/>
    <n v="3"/>
    <n v="4"/>
    <n v="80"/>
    <x v="0"/>
    <n v="7"/>
    <x v="1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s v="Yes"/>
    <n v="13"/>
    <n v="3"/>
    <n v="4"/>
    <n v="80"/>
    <x v="0"/>
    <n v="9"/>
    <x v="3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s v="No"/>
    <n v="13"/>
    <n v="3"/>
    <n v="1"/>
    <n v="80"/>
    <x v="0"/>
    <n v="10"/>
    <x v="3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s v="No"/>
    <n v="14"/>
    <n v="3"/>
    <n v="3"/>
    <n v="80"/>
    <x v="1"/>
    <n v="19"/>
    <x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s v="Yes"/>
    <n v="16"/>
    <n v="3"/>
    <n v="1"/>
    <n v="80"/>
    <x v="1"/>
    <n v="6"/>
    <x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s v="No"/>
    <n v="12"/>
    <n v="3"/>
    <n v="4"/>
    <n v="80"/>
    <x v="3"/>
    <n v="6"/>
    <x v="1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s v="Yes"/>
    <n v="14"/>
    <n v="3"/>
    <n v="3"/>
    <n v="80"/>
    <x v="0"/>
    <n v="3"/>
    <x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s v="No"/>
    <n v="13"/>
    <n v="3"/>
    <n v="1"/>
    <n v="80"/>
    <x v="0"/>
    <n v="2"/>
    <x v="1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s v="Yes"/>
    <n v="14"/>
    <n v="3"/>
    <n v="4"/>
    <n v="80"/>
    <x v="1"/>
    <n v="6"/>
    <x v="1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s v="No"/>
    <n v="19"/>
    <n v="3"/>
    <n v="1"/>
    <n v="80"/>
    <x v="3"/>
    <n v="10"/>
    <x v="1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s v="No"/>
    <n v="12"/>
    <n v="3"/>
    <n v="3"/>
    <n v="80"/>
    <x v="1"/>
    <n v="1"/>
    <x v="1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s v="No"/>
    <n v="13"/>
    <n v="3"/>
    <n v="4"/>
    <n v="80"/>
    <x v="1"/>
    <n v="1"/>
    <x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s v="No"/>
    <n v="12"/>
    <n v="3"/>
    <n v="3"/>
    <n v="80"/>
    <x v="0"/>
    <n v="1"/>
    <x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s v="No"/>
    <n v="15"/>
    <n v="3"/>
    <n v="4"/>
    <n v="80"/>
    <x v="0"/>
    <n v="9"/>
    <x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s v="No"/>
    <n v="23"/>
    <n v="4"/>
    <n v="4"/>
    <n v="80"/>
    <x v="0"/>
    <n v="12"/>
    <x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s v="No"/>
    <n v="12"/>
    <n v="3"/>
    <n v="4"/>
    <n v="80"/>
    <x v="0"/>
    <n v="23"/>
    <x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s v="No"/>
    <n v="20"/>
    <n v="4"/>
    <n v="3"/>
    <n v="80"/>
    <x v="0"/>
    <n v="10"/>
    <x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s v="No"/>
    <n v="21"/>
    <n v="4"/>
    <n v="1"/>
    <n v="80"/>
    <x v="0"/>
    <n v="8"/>
    <x v="4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s v="Yes"/>
    <n v="21"/>
    <n v="4"/>
    <n v="3"/>
    <n v="80"/>
    <x v="0"/>
    <n v="14"/>
    <x v="5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s v="No"/>
    <n v="19"/>
    <n v="3"/>
    <n v="4"/>
    <n v="80"/>
    <x v="0"/>
    <n v="1"/>
    <x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s v="Yes"/>
    <n v="13"/>
    <n v="3"/>
    <n v="4"/>
    <n v="80"/>
    <x v="0"/>
    <n v="23"/>
    <x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s v="Yes"/>
    <n v="13"/>
    <n v="3"/>
    <n v="3"/>
    <n v="80"/>
    <x v="0"/>
    <n v="2"/>
    <x v="1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s v="Yes"/>
    <n v="21"/>
    <n v="4"/>
    <n v="3"/>
    <n v="80"/>
    <x v="1"/>
    <n v="9"/>
    <x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s v="Yes"/>
    <n v="13"/>
    <n v="3"/>
    <n v="3"/>
    <n v="80"/>
    <x v="1"/>
    <n v="10"/>
    <x v="1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s v="Yes"/>
    <n v="19"/>
    <n v="3"/>
    <n v="3"/>
    <n v="80"/>
    <x v="1"/>
    <n v="5"/>
    <x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s v="Yes"/>
    <n v="12"/>
    <n v="3"/>
    <n v="3"/>
    <n v="80"/>
    <x v="0"/>
    <n v="15"/>
    <x v="4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s v="No"/>
    <n v="22"/>
    <n v="4"/>
    <n v="4"/>
    <n v="80"/>
    <x v="1"/>
    <n v="9"/>
    <x v="1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s v="Yes"/>
    <n v="15"/>
    <n v="3"/>
    <n v="3"/>
    <n v="80"/>
    <x v="1"/>
    <n v="4"/>
    <x v="1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s v="No"/>
    <n v="22"/>
    <n v="4"/>
    <n v="4"/>
    <n v="80"/>
    <x v="1"/>
    <n v="10"/>
    <x v="1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s v="No"/>
    <n v="18"/>
    <n v="3"/>
    <n v="3"/>
    <n v="80"/>
    <x v="1"/>
    <n v="7"/>
    <x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s v="Yes"/>
    <n v="22"/>
    <n v="4"/>
    <n v="2"/>
    <n v="80"/>
    <x v="1"/>
    <n v="9"/>
    <x v="1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s v="No"/>
    <n v="11"/>
    <n v="3"/>
    <n v="4"/>
    <n v="80"/>
    <x v="0"/>
    <n v="10"/>
    <x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s v="Yes"/>
    <n v="12"/>
    <n v="3"/>
    <n v="4"/>
    <n v="80"/>
    <x v="1"/>
    <n v="29"/>
    <x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s v="No"/>
    <n v="11"/>
    <n v="3"/>
    <n v="4"/>
    <n v="80"/>
    <x v="0"/>
    <n v="28"/>
    <x v="1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s v="No"/>
    <n v="13"/>
    <n v="3"/>
    <n v="2"/>
    <n v="80"/>
    <x v="2"/>
    <n v="17"/>
    <x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s v="Yes"/>
    <n v="14"/>
    <n v="3"/>
    <n v="3"/>
    <n v="80"/>
    <x v="2"/>
    <n v="21"/>
    <x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s v="No"/>
    <n v="13"/>
    <n v="3"/>
    <n v="3"/>
    <n v="80"/>
    <x v="0"/>
    <n v="6"/>
    <x v="1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s v="No"/>
    <n v="17"/>
    <n v="3"/>
    <n v="3"/>
    <n v="80"/>
    <x v="1"/>
    <n v="25"/>
    <x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s v="No"/>
    <n v="13"/>
    <n v="3"/>
    <n v="4"/>
    <n v="80"/>
    <x v="1"/>
    <n v="5"/>
    <x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s v="Yes"/>
    <n v="17"/>
    <n v="3"/>
    <n v="1"/>
    <n v="80"/>
    <x v="1"/>
    <n v="2"/>
    <x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s v="No"/>
    <n v="11"/>
    <n v="3"/>
    <n v="4"/>
    <n v="80"/>
    <x v="0"/>
    <n v="20"/>
    <x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s v="No"/>
    <n v="23"/>
    <n v="4"/>
    <n v="4"/>
    <n v="80"/>
    <x v="1"/>
    <n v="6"/>
    <x v="1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s v="No"/>
    <n v="17"/>
    <n v="3"/>
    <n v="2"/>
    <n v="80"/>
    <x v="0"/>
    <n v="1"/>
    <x v="5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s v="No"/>
    <n v="17"/>
    <n v="3"/>
    <n v="2"/>
    <n v="80"/>
    <x v="3"/>
    <n v="10"/>
    <x v="1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s v="No"/>
    <n v="12"/>
    <n v="3"/>
    <n v="2"/>
    <n v="80"/>
    <x v="0"/>
    <n v="5"/>
    <x v="1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s v="No"/>
    <n v="23"/>
    <n v="4"/>
    <n v="4"/>
    <n v="80"/>
    <x v="0"/>
    <n v="11"/>
    <x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s v="No"/>
    <n v="14"/>
    <n v="3"/>
    <n v="2"/>
    <n v="80"/>
    <x v="0"/>
    <n v="16"/>
    <x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s v="Yes"/>
    <n v="14"/>
    <n v="3"/>
    <n v="2"/>
    <n v="80"/>
    <x v="0"/>
    <n v="17"/>
    <x v="1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s v="No"/>
    <n v="13"/>
    <n v="3"/>
    <n v="1"/>
    <n v="80"/>
    <x v="0"/>
    <n v="16"/>
    <x v="1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s v="Yes"/>
    <n v="22"/>
    <n v="4"/>
    <n v="4"/>
    <n v="80"/>
    <x v="1"/>
    <n v="16"/>
    <x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s v="Yes"/>
    <n v="12"/>
    <n v="3"/>
    <n v="3"/>
    <n v="80"/>
    <x v="3"/>
    <n v="10"/>
    <x v="4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s v="No"/>
    <n v="18"/>
    <n v="3"/>
    <n v="1"/>
    <n v="80"/>
    <x v="0"/>
    <n v="6"/>
    <x v="1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s v="No"/>
    <n v="14"/>
    <n v="3"/>
    <n v="4"/>
    <n v="80"/>
    <x v="1"/>
    <n v="24"/>
    <x v="5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s v="Yes"/>
    <n v="12"/>
    <n v="3"/>
    <n v="4"/>
    <n v="80"/>
    <x v="2"/>
    <n v="17"/>
    <x v="1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s v="No"/>
    <n v="15"/>
    <n v="3"/>
    <n v="3"/>
    <n v="80"/>
    <x v="0"/>
    <n v="5"/>
    <x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s v="No"/>
    <n v="11"/>
    <n v="3"/>
    <n v="1"/>
    <n v="80"/>
    <x v="0"/>
    <n v="37"/>
    <x v="1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s v="No"/>
    <n v="13"/>
    <n v="3"/>
    <n v="3"/>
    <n v="80"/>
    <x v="1"/>
    <n v="3"/>
    <x v="1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s v="No"/>
    <n v="23"/>
    <n v="4"/>
    <n v="2"/>
    <n v="80"/>
    <x v="3"/>
    <n v="10"/>
    <x v="5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s v="No"/>
    <n v="19"/>
    <n v="3"/>
    <n v="1"/>
    <n v="80"/>
    <x v="2"/>
    <n v="11"/>
    <x v="1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s v="No"/>
    <n v="16"/>
    <n v="3"/>
    <n v="4"/>
    <n v="80"/>
    <x v="0"/>
    <n v="9"/>
    <x v="1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s v="No"/>
    <n v="22"/>
    <n v="4"/>
    <n v="4"/>
    <n v="80"/>
    <x v="1"/>
    <n v="22"/>
    <x v="1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s v="Yes"/>
    <n v="22"/>
    <n v="4"/>
    <n v="4"/>
    <n v="80"/>
    <x v="0"/>
    <n v="11"/>
    <x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s v="Yes"/>
    <n v="12"/>
    <n v="3"/>
    <n v="2"/>
    <n v="80"/>
    <x v="2"/>
    <n v="11"/>
    <x v="5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s v="Yes"/>
    <n v="13"/>
    <n v="3"/>
    <n v="3"/>
    <n v="80"/>
    <x v="1"/>
    <n v="21"/>
    <x v="3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s v="No"/>
    <n v="16"/>
    <n v="3"/>
    <n v="1"/>
    <n v="80"/>
    <x v="0"/>
    <n v="12"/>
    <x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s v="No"/>
    <n v="12"/>
    <n v="3"/>
    <n v="1"/>
    <n v="80"/>
    <x v="1"/>
    <n v="16"/>
    <x v="3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s v="No"/>
    <n v="21"/>
    <n v="4"/>
    <n v="1"/>
    <n v="80"/>
    <x v="1"/>
    <n v="4"/>
    <x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s v="No"/>
    <n v="15"/>
    <n v="3"/>
    <n v="2"/>
    <n v="80"/>
    <x v="0"/>
    <n v="5"/>
    <x v="1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s v="No"/>
    <n v="13"/>
    <n v="3"/>
    <n v="3"/>
    <n v="80"/>
    <x v="0"/>
    <n v="38"/>
    <x v="4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s v="No"/>
    <n v="12"/>
    <n v="3"/>
    <n v="3"/>
    <n v="80"/>
    <x v="1"/>
    <n v="17"/>
    <x v="1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s v="Yes"/>
    <n v="22"/>
    <n v="4"/>
    <n v="4"/>
    <n v="80"/>
    <x v="0"/>
    <n v="7"/>
    <x v="1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s v="No"/>
    <n v="13"/>
    <n v="3"/>
    <n v="4"/>
    <n v="80"/>
    <x v="0"/>
    <n v="1"/>
    <x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s v="Yes"/>
    <n v="18"/>
    <n v="3"/>
    <n v="2"/>
    <n v="80"/>
    <x v="0"/>
    <n v="1"/>
    <x v="3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s v="No"/>
    <n v="14"/>
    <n v="3"/>
    <n v="3"/>
    <n v="80"/>
    <x v="0"/>
    <n v="16"/>
    <x v="1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s v="No"/>
    <n v="14"/>
    <n v="3"/>
    <n v="4"/>
    <n v="80"/>
    <x v="1"/>
    <n v="17"/>
    <x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s v="No"/>
    <n v="21"/>
    <n v="4"/>
    <n v="4"/>
    <n v="80"/>
    <x v="1"/>
    <n v="30"/>
    <x v="1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s v="Yes"/>
    <n v="19"/>
    <n v="3"/>
    <n v="1"/>
    <n v="80"/>
    <x v="0"/>
    <n v="28"/>
    <x v="4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s v="Yes"/>
    <n v="11"/>
    <n v="3"/>
    <n v="4"/>
    <n v="80"/>
    <x v="0"/>
    <n v="6"/>
    <x v="4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s v="No"/>
    <n v="11"/>
    <n v="3"/>
    <n v="3"/>
    <n v="80"/>
    <x v="3"/>
    <n v="2"/>
    <x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s v="No"/>
    <n v="15"/>
    <n v="3"/>
    <n v="3"/>
    <n v="80"/>
    <x v="0"/>
    <n v="1"/>
    <x v="3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s v="No"/>
    <n v="20"/>
    <n v="4"/>
    <n v="3"/>
    <n v="80"/>
    <x v="0"/>
    <n v="23"/>
    <x v="4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s v="Yes"/>
    <n v="24"/>
    <n v="4"/>
    <n v="4"/>
    <n v="80"/>
    <x v="0"/>
    <n v="9"/>
    <x v="1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s v="Yes"/>
    <n v="12"/>
    <n v="3"/>
    <n v="3"/>
    <n v="80"/>
    <x v="0"/>
    <n v="23"/>
    <x v="1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s v="No"/>
    <n v="12"/>
    <n v="3"/>
    <n v="3"/>
    <n v="80"/>
    <x v="1"/>
    <n v="6"/>
    <x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s v="No"/>
    <n v="15"/>
    <n v="3"/>
    <n v="3"/>
    <n v="80"/>
    <x v="1"/>
    <n v="12"/>
    <x v="1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s v="No"/>
    <n v="12"/>
    <n v="3"/>
    <n v="1"/>
    <n v="80"/>
    <x v="0"/>
    <n v="12"/>
    <x v="1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s v="No"/>
    <n v="12"/>
    <n v="3"/>
    <n v="4"/>
    <n v="80"/>
    <x v="0"/>
    <n v="14"/>
    <x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s v="No"/>
    <n v="14"/>
    <n v="3"/>
    <n v="3"/>
    <n v="80"/>
    <x v="1"/>
    <n v="10"/>
    <x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s v="No"/>
    <n v="22"/>
    <n v="4"/>
    <n v="1"/>
    <n v="80"/>
    <x v="1"/>
    <n v="7"/>
    <x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s v="Yes"/>
    <n v="12"/>
    <n v="3"/>
    <n v="4"/>
    <n v="80"/>
    <x v="3"/>
    <n v="25"/>
    <x v="1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s v="No"/>
    <n v="25"/>
    <n v="4"/>
    <n v="3"/>
    <n v="80"/>
    <x v="2"/>
    <n v="10"/>
    <x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s v="No"/>
    <n v="13"/>
    <n v="3"/>
    <n v="1"/>
    <n v="80"/>
    <x v="1"/>
    <n v="8"/>
    <x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s v="Yes"/>
    <n v="18"/>
    <n v="3"/>
    <n v="1"/>
    <n v="80"/>
    <x v="2"/>
    <n v="7"/>
    <x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s v="No"/>
    <n v="13"/>
    <n v="3"/>
    <n v="3"/>
    <n v="80"/>
    <x v="0"/>
    <n v="23"/>
    <x v="3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s v="Yes"/>
    <n v="18"/>
    <n v="3"/>
    <n v="2"/>
    <n v="80"/>
    <x v="0"/>
    <n v="12"/>
    <x v="1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s v="No"/>
    <n v="19"/>
    <n v="3"/>
    <n v="3"/>
    <n v="80"/>
    <x v="0"/>
    <n v="5"/>
    <x v="1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s v="No"/>
    <n v="12"/>
    <n v="3"/>
    <n v="4"/>
    <n v="80"/>
    <x v="1"/>
    <n v="40"/>
    <x v="1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s v="Yes"/>
    <n v="19"/>
    <n v="3"/>
    <n v="4"/>
    <n v="80"/>
    <x v="0"/>
    <n v="0"/>
    <x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s v="No"/>
    <n v="14"/>
    <n v="3"/>
    <n v="3"/>
    <n v="80"/>
    <x v="1"/>
    <n v="3"/>
    <x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s v="No"/>
    <n v="14"/>
    <n v="3"/>
    <n v="3"/>
    <n v="80"/>
    <x v="0"/>
    <n v="16"/>
    <x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s v="No"/>
    <n v="12"/>
    <n v="3"/>
    <n v="4"/>
    <n v="80"/>
    <x v="0"/>
    <n v="18"/>
    <x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s v="No"/>
    <n v="11"/>
    <n v="3"/>
    <n v="4"/>
    <n v="80"/>
    <x v="0"/>
    <n v="16"/>
    <x v="1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s v="Yes"/>
    <n v="11"/>
    <n v="3"/>
    <n v="3"/>
    <n v="80"/>
    <x v="1"/>
    <n v="4"/>
    <x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s v="Yes"/>
    <n v="13"/>
    <n v="3"/>
    <n v="3"/>
    <n v="80"/>
    <x v="1"/>
    <n v="12"/>
    <x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s v="No"/>
    <n v="23"/>
    <n v="4"/>
    <n v="4"/>
    <n v="80"/>
    <x v="1"/>
    <n v="8"/>
    <x v="1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s v="No"/>
    <n v="20"/>
    <n v="4"/>
    <n v="4"/>
    <n v="80"/>
    <x v="3"/>
    <n v="7"/>
    <x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s v="No"/>
    <n v="15"/>
    <n v="3"/>
    <n v="4"/>
    <n v="80"/>
    <x v="0"/>
    <n v="18"/>
    <x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s v="No"/>
    <n v="14"/>
    <n v="3"/>
    <n v="3"/>
    <n v="80"/>
    <x v="1"/>
    <n v="17"/>
    <x v="4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s v="No"/>
    <n v="18"/>
    <n v="3"/>
    <n v="4"/>
    <n v="80"/>
    <x v="0"/>
    <n v="6"/>
    <x v="1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s v="Yes"/>
    <n v="19"/>
    <n v="3"/>
    <n v="4"/>
    <n v="80"/>
    <x v="0"/>
    <n v="12"/>
    <x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s v="No"/>
    <n v="22"/>
    <n v="4"/>
    <n v="1"/>
    <n v="80"/>
    <x v="0"/>
    <n v="10"/>
    <x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s v="No"/>
    <n v="13"/>
    <n v="3"/>
    <n v="2"/>
    <n v="80"/>
    <x v="0"/>
    <n v="9"/>
    <x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s v="Yes"/>
    <n v="20"/>
    <n v="4"/>
    <n v="2"/>
    <n v="80"/>
    <x v="0"/>
    <n v="19"/>
    <x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s v="No"/>
    <n v="14"/>
    <n v="3"/>
    <n v="3"/>
    <n v="80"/>
    <x v="0"/>
    <n v="5"/>
    <x v="5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s v="No"/>
    <n v="17"/>
    <n v="3"/>
    <n v="4"/>
    <n v="80"/>
    <x v="2"/>
    <n v="9"/>
    <x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s v="No"/>
    <n v="14"/>
    <n v="3"/>
    <n v="4"/>
    <n v="80"/>
    <x v="1"/>
    <n v="8"/>
    <x v="1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s v="No"/>
    <n v="13"/>
    <n v="3"/>
    <n v="4"/>
    <n v="80"/>
    <x v="0"/>
    <n v="6"/>
    <x v="1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s v="No"/>
    <n v="13"/>
    <n v="3"/>
    <n v="2"/>
    <n v="80"/>
    <x v="1"/>
    <n v="21"/>
    <x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s v="No"/>
    <n v="21"/>
    <n v="4"/>
    <n v="4"/>
    <n v="80"/>
    <x v="1"/>
    <n v="7"/>
    <x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s v="No"/>
    <n v="14"/>
    <n v="3"/>
    <n v="4"/>
    <n v="80"/>
    <x v="0"/>
    <n v="1"/>
    <x v="1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s v="No"/>
    <n v="11"/>
    <n v="3"/>
    <n v="1"/>
    <n v="80"/>
    <x v="1"/>
    <n v="20"/>
    <x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s v="No"/>
    <n v="13"/>
    <n v="3"/>
    <n v="1"/>
    <n v="80"/>
    <x v="3"/>
    <n v="10"/>
    <x v="1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s v="Yes"/>
    <n v="20"/>
    <n v="4"/>
    <n v="4"/>
    <n v="80"/>
    <x v="1"/>
    <n v="13"/>
    <x v="1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s v="No"/>
    <n v="18"/>
    <n v="3"/>
    <n v="3"/>
    <n v="80"/>
    <x v="1"/>
    <n v="20"/>
    <x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s v="No"/>
    <n v="14"/>
    <n v="3"/>
    <n v="4"/>
    <n v="80"/>
    <x v="0"/>
    <n v="9"/>
    <x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s v="No"/>
    <n v="13"/>
    <n v="3"/>
    <n v="1"/>
    <n v="80"/>
    <x v="1"/>
    <n v="10"/>
    <x v="4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s v="No"/>
    <n v="17"/>
    <n v="3"/>
    <n v="3"/>
    <n v="80"/>
    <x v="0"/>
    <n v="10"/>
    <x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s v="Yes"/>
    <n v="20"/>
    <n v="4"/>
    <n v="2"/>
    <n v="80"/>
    <x v="1"/>
    <n v="9"/>
    <x v="1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s v="No"/>
    <n v="11"/>
    <n v="3"/>
    <n v="1"/>
    <n v="80"/>
    <x v="1"/>
    <n v="15"/>
    <x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s v="No"/>
    <n v="18"/>
    <n v="3"/>
    <n v="4"/>
    <n v="80"/>
    <x v="1"/>
    <n v="6"/>
    <x v="1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s v="No"/>
    <n v="24"/>
    <n v="4"/>
    <n v="1"/>
    <n v="80"/>
    <x v="3"/>
    <n v="2"/>
    <x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s v="No"/>
    <n v="18"/>
    <n v="3"/>
    <n v="4"/>
    <n v="80"/>
    <x v="1"/>
    <n v="6"/>
    <x v="4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s v="No"/>
    <n v="11"/>
    <n v="3"/>
    <n v="3"/>
    <n v="80"/>
    <x v="1"/>
    <n v="5"/>
    <x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s v="Yes"/>
    <n v="16"/>
    <n v="3"/>
    <n v="2"/>
    <n v="80"/>
    <x v="1"/>
    <n v="12"/>
    <x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s v="Yes"/>
    <n v="15"/>
    <n v="3"/>
    <n v="4"/>
    <n v="80"/>
    <x v="1"/>
    <n v="1"/>
    <x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s v="No"/>
    <n v="15"/>
    <n v="3"/>
    <n v="2"/>
    <n v="80"/>
    <x v="0"/>
    <n v="21"/>
    <x v="3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s v="No"/>
    <n v="12"/>
    <n v="3"/>
    <n v="1"/>
    <n v="80"/>
    <x v="1"/>
    <n v="13"/>
    <x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s v="No"/>
    <n v="12"/>
    <n v="3"/>
    <n v="3"/>
    <n v="80"/>
    <x v="1"/>
    <n v="12"/>
    <x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s v="No"/>
    <n v="22"/>
    <n v="4"/>
    <n v="3"/>
    <n v="80"/>
    <x v="0"/>
    <n v="12"/>
    <x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s v="No"/>
    <n v="20"/>
    <n v="4"/>
    <n v="1"/>
    <n v="80"/>
    <x v="0"/>
    <n v="8"/>
    <x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s v="Yes"/>
    <n v="16"/>
    <n v="3"/>
    <n v="4"/>
    <n v="80"/>
    <x v="1"/>
    <n v="6"/>
    <x v="1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s v="No"/>
    <n v="21"/>
    <n v="4"/>
    <n v="1"/>
    <n v="80"/>
    <x v="0"/>
    <n v="1"/>
    <x v="3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s v="No"/>
    <n v="12"/>
    <n v="3"/>
    <n v="3"/>
    <n v="80"/>
    <x v="0"/>
    <n v="13"/>
    <x v="1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s v="No"/>
    <n v="11"/>
    <n v="3"/>
    <n v="3"/>
    <n v="80"/>
    <x v="3"/>
    <n v="12"/>
    <x v="5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s v="Yes"/>
    <n v="11"/>
    <n v="3"/>
    <n v="1"/>
    <n v="80"/>
    <x v="1"/>
    <n v="9"/>
    <x v="1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s v="Yes"/>
    <n v="18"/>
    <n v="3"/>
    <n v="3"/>
    <n v="80"/>
    <x v="1"/>
    <n v="19"/>
    <x v="1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s v="No"/>
    <n v="14"/>
    <n v="3"/>
    <n v="1"/>
    <n v="80"/>
    <x v="0"/>
    <n v="4"/>
    <x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s v="No"/>
    <n v="22"/>
    <n v="4"/>
    <n v="3"/>
    <n v="80"/>
    <x v="0"/>
    <n v="1"/>
    <x v="1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s v="No"/>
    <n v="25"/>
    <n v="4"/>
    <n v="3"/>
    <n v="80"/>
    <x v="2"/>
    <n v="24"/>
    <x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s v="No"/>
    <n v="12"/>
    <n v="3"/>
    <n v="3"/>
    <n v="80"/>
    <x v="0"/>
    <n v="2"/>
    <x v="1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s v="Yes"/>
    <n v="23"/>
    <n v="4"/>
    <n v="3"/>
    <n v="80"/>
    <x v="1"/>
    <n v="7"/>
    <x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s v="No"/>
    <n v="15"/>
    <n v="3"/>
    <n v="4"/>
    <n v="80"/>
    <x v="0"/>
    <n v="9"/>
    <x v="1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s v="Yes"/>
    <n v="22"/>
    <n v="4"/>
    <n v="4"/>
    <n v="80"/>
    <x v="0"/>
    <n v="4"/>
    <x v="3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s v="No"/>
    <n v="15"/>
    <n v="3"/>
    <n v="4"/>
    <n v="80"/>
    <x v="1"/>
    <n v="5"/>
    <x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s v="No"/>
    <n v="11"/>
    <n v="3"/>
    <n v="3"/>
    <n v="80"/>
    <x v="3"/>
    <n v="5"/>
    <x v="1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s v="No"/>
    <n v="13"/>
    <n v="3"/>
    <n v="4"/>
    <n v="80"/>
    <x v="1"/>
    <n v="8"/>
    <x v="3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s v="No"/>
    <n v="14"/>
    <n v="3"/>
    <n v="2"/>
    <n v="80"/>
    <x v="1"/>
    <n v="21"/>
    <x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s v="No"/>
    <n v="11"/>
    <n v="3"/>
    <n v="4"/>
    <n v="80"/>
    <x v="0"/>
    <n v="36"/>
    <x v="1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s v="No"/>
    <n v="17"/>
    <n v="3"/>
    <n v="3"/>
    <n v="80"/>
    <x v="0"/>
    <n v="10"/>
    <x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s v="No"/>
    <n v="18"/>
    <n v="3"/>
    <n v="3"/>
    <n v="80"/>
    <x v="0"/>
    <n v="21"/>
    <x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s v="No"/>
    <n v="14"/>
    <n v="3"/>
    <n v="1"/>
    <n v="80"/>
    <x v="1"/>
    <n v="34"/>
    <x v="3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s v="No"/>
    <n v="16"/>
    <n v="3"/>
    <n v="4"/>
    <n v="80"/>
    <x v="0"/>
    <n v="7"/>
    <x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s v="Yes"/>
    <n v="13"/>
    <n v="3"/>
    <n v="1"/>
    <n v="80"/>
    <x v="0"/>
    <n v="8"/>
    <x v="4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s v="No"/>
    <n v="14"/>
    <n v="3"/>
    <n v="4"/>
    <n v="80"/>
    <x v="2"/>
    <n v="7"/>
    <x v="1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s v="No"/>
    <n v="23"/>
    <n v="4"/>
    <n v="4"/>
    <n v="80"/>
    <x v="1"/>
    <n v="22"/>
    <x v="4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s v="Yes"/>
    <n v="12"/>
    <n v="3"/>
    <n v="1"/>
    <n v="80"/>
    <x v="1"/>
    <n v="8"/>
    <x v="1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s v="No"/>
    <n v="11"/>
    <n v="3"/>
    <n v="4"/>
    <n v="80"/>
    <x v="0"/>
    <n v="10"/>
    <x v="3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s v="No"/>
    <n v="16"/>
    <n v="3"/>
    <n v="2"/>
    <n v="80"/>
    <x v="1"/>
    <n v="11"/>
    <x v="3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s v="No"/>
    <n v="14"/>
    <n v="3"/>
    <n v="2"/>
    <n v="80"/>
    <x v="0"/>
    <n v="14"/>
    <x v="1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s v="No"/>
    <n v="18"/>
    <n v="3"/>
    <n v="1"/>
    <n v="80"/>
    <x v="1"/>
    <n v="9"/>
    <x v="1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s v="No"/>
    <n v="19"/>
    <n v="3"/>
    <n v="3"/>
    <n v="80"/>
    <x v="1"/>
    <n v="6"/>
    <x v="4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s v="Yes"/>
    <n v="15"/>
    <n v="3"/>
    <n v="1"/>
    <n v="80"/>
    <x v="3"/>
    <n v="7"/>
    <x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s v="Yes"/>
    <n v="17"/>
    <n v="3"/>
    <n v="4"/>
    <n v="80"/>
    <x v="1"/>
    <n v="5"/>
    <x v="5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s v="Yes"/>
    <n v="15"/>
    <n v="3"/>
    <n v="3"/>
    <n v="80"/>
    <x v="1"/>
    <n v="15"/>
    <x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s v="Yes"/>
    <n v="19"/>
    <n v="3"/>
    <n v="2"/>
    <n v="80"/>
    <x v="0"/>
    <n v="17"/>
    <x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s v="No"/>
    <n v="22"/>
    <n v="4"/>
    <n v="4"/>
    <n v="80"/>
    <x v="2"/>
    <n v="10"/>
    <x v="1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s v="Yes"/>
    <n v="16"/>
    <n v="3"/>
    <n v="1"/>
    <n v="80"/>
    <x v="1"/>
    <n v="4"/>
    <x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s v="No"/>
    <n v="13"/>
    <n v="3"/>
    <n v="1"/>
    <n v="80"/>
    <x v="0"/>
    <n v="8"/>
    <x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s v="No"/>
    <n v="14"/>
    <n v="3"/>
    <n v="4"/>
    <n v="80"/>
    <x v="1"/>
    <n v="5"/>
    <x v="3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s v="No"/>
    <n v="16"/>
    <n v="3"/>
    <n v="3"/>
    <n v="80"/>
    <x v="1"/>
    <n v="17"/>
    <x v="1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s v="No"/>
    <n v="11"/>
    <n v="3"/>
    <n v="3"/>
    <n v="80"/>
    <x v="0"/>
    <n v="14"/>
    <x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s v="No"/>
    <n v="22"/>
    <n v="4"/>
    <n v="3"/>
    <n v="80"/>
    <x v="0"/>
    <n v="12"/>
    <x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s v="No"/>
    <n v="14"/>
    <n v="3"/>
    <n v="4"/>
    <n v="80"/>
    <x v="0"/>
    <n v="7"/>
    <x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s v="No"/>
    <n v="16"/>
    <n v="3"/>
    <n v="4"/>
    <n v="80"/>
    <x v="3"/>
    <n v="16"/>
    <x v="3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s v="Yes"/>
    <n v="11"/>
    <n v="3"/>
    <n v="3"/>
    <n v="80"/>
    <x v="0"/>
    <n v="8"/>
    <x v="3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s v="Yes"/>
    <n v="18"/>
    <n v="3"/>
    <n v="3"/>
    <n v="80"/>
    <x v="0"/>
    <n v="16"/>
    <x v="1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s v="No"/>
    <n v="15"/>
    <n v="3"/>
    <n v="3"/>
    <n v="80"/>
    <x v="0"/>
    <n v="9"/>
    <x v="3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s v="No"/>
    <n v="14"/>
    <n v="3"/>
    <n v="4"/>
    <n v="80"/>
    <x v="0"/>
    <n v="7"/>
    <x v="4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s v="No"/>
    <n v="12"/>
    <n v="3"/>
    <n v="4"/>
    <n v="80"/>
    <x v="0"/>
    <n v="23"/>
    <x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s v="No"/>
    <n v="14"/>
    <n v="3"/>
    <n v="4"/>
    <n v="80"/>
    <x v="1"/>
    <n v="16"/>
    <x v="5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s v="No"/>
    <n v="16"/>
    <n v="3"/>
    <n v="4"/>
    <n v="80"/>
    <x v="0"/>
    <n v="16"/>
    <x v="1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s v="No"/>
    <n v="21"/>
    <n v="4"/>
    <n v="4"/>
    <n v="80"/>
    <x v="0"/>
    <n v="7"/>
    <x v="1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s v="Yes"/>
    <n v="14"/>
    <n v="3"/>
    <n v="3"/>
    <n v="80"/>
    <x v="2"/>
    <n v="10"/>
    <x v="4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s v="No"/>
    <n v="12"/>
    <n v="3"/>
    <n v="3"/>
    <n v="80"/>
    <x v="3"/>
    <n v="17"/>
    <x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s v="No"/>
    <n v="12"/>
    <n v="3"/>
    <n v="4"/>
    <n v="80"/>
    <x v="1"/>
    <n v="6"/>
    <x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s v="No"/>
    <n v="17"/>
    <n v="3"/>
    <n v="1"/>
    <n v="80"/>
    <x v="1"/>
    <n v="7"/>
    <x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s v="No"/>
    <n v="17"/>
    <n v="3"/>
    <n v="3"/>
    <n v="80"/>
    <x v="1"/>
    <n v="13"/>
    <x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s v="No"/>
    <n v="14"/>
    <n v="3"/>
    <n v="4"/>
    <n v="80"/>
    <x v="1"/>
    <n v="11"/>
    <x v="3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s v="No"/>
    <n v="14"/>
    <n v="3"/>
    <n v="1"/>
    <n v="80"/>
    <x v="0"/>
    <n v="10"/>
    <x v="1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s v="Yes"/>
    <n v="13"/>
    <n v="3"/>
    <n v="3"/>
    <n v="80"/>
    <x v="0"/>
    <n v="4"/>
    <x v="1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s v="No"/>
    <n v="15"/>
    <n v="3"/>
    <n v="2"/>
    <n v="80"/>
    <x v="0"/>
    <n v="6"/>
    <x v="1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s v="No"/>
    <n v="11"/>
    <n v="3"/>
    <n v="4"/>
    <n v="80"/>
    <x v="0"/>
    <n v="22"/>
    <x v="1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s v="No"/>
    <n v="17"/>
    <n v="3"/>
    <n v="4"/>
    <n v="80"/>
    <x v="0"/>
    <n v="7"/>
    <x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s v="No"/>
    <n v="11"/>
    <n v="3"/>
    <n v="3"/>
    <n v="80"/>
    <x v="1"/>
    <n v="32"/>
    <x v="1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s v="Yes"/>
    <n v="13"/>
    <n v="3"/>
    <n v="3"/>
    <n v="80"/>
    <x v="1"/>
    <n v="8"/>
    <x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s v="Yes"/>
    <n v="22"/>
    <n v="4"/>
    <n v="3"/>
    <n v="80"/>
    <x v="1"/>
    <n v="22"/>
    <x v="1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s v="No"/>
    <n v="20"/>
    <n v="4"/>
    <n v="1"/>
    <n v="80"/>
    <x v="0"/>
    <n v="13"/>
    <x v="1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s v="Yes"/>
    <n v="18"/>
    <n v="3"/>
    <n v="4"/>
    <n v="80"/>
    <x v="0"/>
    <n v="33"/>
    <x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s v="No"/>
    <n v="11"/>
    <n v="3"/>
    <n v="1"/>
    <n v="80"/>
    <x v="1"/>
    <n v="6"/>
    <x v="3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s v="Yes"/>
    <n v="14"/>
    <n v="3"/>
    <n v="4"/>
    <n v="80"/>
    <x v="0"/>
    <n v="4"/>
    <x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s v="No"/>
    <n v="14"/>
    <n v="3"/>
    <n v="3"/>
    <n v="80"/>
    <x v="2"/>
    <n v="7"/>
    <x v="4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s v="No"/>
    <n v="18"/>
    <n v="3"/>
    <n v="1"/>
    <n v="80"/>
    <x v="0"/>
    <n v="4"/>
    <x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s v="No"/>
    <n v="16"/>
    <n v="3"/>
    <n v="1"/>
    <n v="80"/>
    <x v="3"/>
    <n v="17"/>
    <x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s v="No"/>
    <n v="17"/>
    <n v="3"/>
    <n v="1"/>
    <n v="80"/>
    <x v="3"/>
    <n v="9"/>
    <x v="1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s v="No"/>
    <n v="11"/>
    <n v="3"/>
    <n v="3"/>
    <n v="80"/>
    <x v="1"/>
    <n v="25"/>
    <x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s v="No"/>
    <n v="12"/>
    <n v="3"/>
    <n v="1"/>
    <n v="80"/>
    <x v="1"/>
    <n v="9"/>
    <x v="1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s v="No"/>
    <n v="13"/>
    <n v="3"/>
    <n v="3"/>
    <n v="80"/>
    <x v="1"/>
    <n v="2"/>
    <x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s v="No"/>
    <n v="13"/>
    <n v="3"/>
    <n v="2"/>
    <n v="80"/>
    <x v="1"/>
    <n v="13"/>
    <x v="1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s v="No"/>
    <n v="14"/>
    <n v="3"/>
    <n v="1"/>
    <n v="80"/>
    <x v="1"/>
    <n v="17"/>
    <x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s v="No"/>
    <n v="17"/>
    <n v="3"/>
    <n v="4"/>
    <n v="80"/>
    <x v="1"/>
    <n v="9"/>
    <x v="4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s v="No"/>
    <n v="11"/>
    <n v="3"/>
    <n v="2"/>
    <n v="80"/>
    <x v="3"/>
    <n v="17"/>
    <x v="3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s v="No"/>
    <n v="25"/>
    <n v="4"/>
    <n v="4"/>
    <n v="80"/>
    <x v="0"/>
    <n v="20"/>
    <x v="4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s v="No"/>
    <n v="19"/>
    <n v="3"/>
    <n v="1"/>
    <n v="80"/>
    <x v="0"/>
    <n v="6"/>
    <x v="4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s v="Yes"/>
    <n v="13"/>
    <n v="3"/>
    <n v="3"/>
    <n v="80"/>
    <x v="0"/>
    <n v="10"/>
    <x v="4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s v="No"/>
    <n v="14"/>
    <n v="3"/>
    <n v="4"/>
    <n v="80"/>
    <x v="1"/>
    <n v="10"/>
    <x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s v="No"/>
    <n v="12"/>
    <n v="3"/>
    <n v="4"/>
    <n v="80"/>
    <x v="3"/>
    <n v="5"/>
    <x v="1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s v="Yes"/>
    <n v="11"/>
    <n v="3"/>
    <n v="3"/>
    <n v="80"/>
    <x v="1"/>
    <n v="10"/>
    <x v="5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s v="No"/>
    <n v="19"/>
    <n v="3"/>
    <n v="4"/>
    <n v="80"/>
    <x v="1"/>
    <n v="22"/>
    <x v="3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s v="No"/>
    <n v="11"/>
    <n v="3"/>
    <n v="2"/>
    <n v="80"/>
    <x v="0"/>
    <n v="1"/>
    <x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s v="No"/>
    <n v="11"/>
    <n v="3"/>
    <n v="2"/>
    <n v="80"/>
    <x v="0"/>
    <n v="6"/>
    <x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s v="No"/>
    <n v="20"/>
    <n v="4"/>
    <n v="3"/>
    <n v="80"/>
    <x v="0"/>
    <n v="5"/>
    <x v="1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s v="No"/>
    <n v="18"/>
    <n v="3"/>
    <n v="4"/>
    <n v="80"/>
    <x v="1"/>
    <n v="13"/>
    <x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s v="No"/>
    <n v="13"/>
    <n v="3"/>
    <n v="4"/>
    <n v="80"/>
    <x v="0"/>
    <n v="9"/>
    <x v="3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s v="Yes"/>
    <n v="12"/>
    <n v="3"/>
    <n v="2"/>
    <n v="80"/>
    <x v="1"/>
    <n v="28"/>
    <x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s v="No"/>
    <n v="11"/>
    <n v="3"/>
    <n v="3"/>
    <n v="80"/>
    <x v="0"/>
    <n v="5"/>
    <x v="3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s v="No"/>
    <n v="19"/>
    <n v="3"/>
    <n v="2"/>
    <n v="80"/>
    <x v="3"/>
    <n v="10"/>
    <x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s v="No"/>
    <n v="21"/>
    <n v="4"/>
    <n v="2"/>
    <n v="80"/>
    <x v="1"/>
    <n v="10"/>
    <x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s v="No"/>
    <n v="12"/>
    <n v="3"/>
    <n v="4"/>
    <n v="80"/>
    <x v="3"/>
    <n v="6"/>
    <x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s v="Yes"/>
    <n v="14"/>
    <n v="3"/>
    <n v="2"/>
    <n v="80"/>
    <x v="0"/>
    <n v="21"/>
    <x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s v="No"/>
    <n v="11"/>
    <n v="3"/>
    <n v="3"/>
    <n v="80"/>
    <x v="1"/>
    <n v="16"/>
    <x v="5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s v="Yes"/>
    <n v="14"/>
    <n v="3"/>
    <n v="3"/>
    <n v="80"/>
    <x v="0"/>
    <n v="37"/>
    <x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s v="Yes"/>
    <n v="12"/>
    <n v="3"/>
    <n v="4"/>
    <n v="80"/>
    <x v="1"/>
    <n v="10"/>
    <x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s v="No"/>
    <n v="23"/>
    <n v="4"/>
    <n v="4"/>
    <n v="80"/>
    <x v="1"/>
    <n v="5"/>
    <x v="1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s v="No"/>
    <n v="14"/>
    <n v="3"/>
    <n v="2"/>
    <n v="80"/>
    <x v="1"/>
    <n v="7"/>
    <x v="3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s v="No"/>
    <n v="17"/>
    <n v="3"/>
    <n v="1"/>
    <n v="80"/>
    <x v="0"/>
    <n v="3"/>
    <x v="5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s v="Yes"/>
    <n v="18"/>
    <n v="3"/>
    <n v="1"/>
    <n v="80"/>
    <x v="3"/>
    <n v="15"/>
    <x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s v="No"/>
    <n v="18"/>
    <n v="3"/>
    <n v="2"/>
    <n v="80"/>
    <x v="1"/>
    <n v="10"/>
    <x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s v="Yes"/>
    <n v="24"/>
    <n v="4"/>
    <n v="3"/>
    <n v="80"/>
    <x v="1"/>
    <n v="8"/>
    <x v="1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s v="No"/>
    <n v="20"/>
    <n v="4"/>
    <n v="1"/>
    <n v="80"/>
    <x v="1"/>
    <n v="6"/>
    <x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s v="No"/>
    <n v="14"/>
    <n v="3"/>
    <n v="1"/>
    <n v="80"/>
    <x v="3"/>
    <n v="28"/>
    <x v="5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s v="Yes"/>
    <n v="16"/>
    <n v="3"/>
    <n v="4"/>
    <n v="80"/>
    <x v="2"/>
    <n v="21"/>
    <x v="3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s v="No"/>
    <n v="25"/>
    <n v="4"/>
    <n v="3"/>
    <n v="80"/>
    <x v="0"/>
    <n v="20"/>
    <x v="1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s v="No"/>
    <n v="18"/>
    <n v="3"/>
    <n v="1"/>
    <n v="80"/>
    <x v="0"/>
    <n v="10"/>
    <x v="1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s v="Yes"/>
    <n v="19"/>
    <n v="3"/>
    <n v="4"/>
    <n v="80"/>
    <x v="1"/>
    <n v="12"/>
    <x v="5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s v="Yes"/>
    <n v="13"/>
    <n v="3"/>
    <n v="3"/>
    <n v="80"/>
    <x v="1"/>
    <n v="5"/>
    <x v="1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s v="No"/>
    <n v="12"/>
    <n v="3"/>
    <n v="2"/>
    <n v="80"/>
    <x v="0"/>
    <n v="17"/>
    <x v="1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s v="Yes"/>
    <n v="22"/>
    <n v="4"/>
    <n v="4"/>
    <n v="80"/>
    <x v="1"/>
    <n v="19"/>
    <x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s v="No"/>
    <n v="14"/>
    <n v="3"/>
    <n v="2"/>
    <n v="80"/>
    <x v="1"/>
    <n v="10"/>
    <x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s v="Yes"/>
    <n v="13"/>
    <n v="3"/>
    <n v="4"/>
    <n v="80"/>
    <x v="1"/>
    <n v="5"/>
    <x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s v="No"/>
    <n v="21"/>
    <n v="4"/>
    <n v="4"/>
    <n v="80"/>
    <x v="0"/>
    <n v="5"/>
    <x v="1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s v="Yes"/>
    <n v="11"/>
    <n v="3"/>
    <n v="4"/>
    <n v="80"/>
    <x v="0"/>
    <n v="22"/>
    <x v="5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s v="No"/>
    <n v="12"/>
    <n v="3"/>
    <n v="4"/>
    <n v="80"/>
    <x v="0"/>
    <n v="10"/>
    <x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s v="No"/>
    <n v="11"/>
    <n v="3"/>
    <n v="3"/>
    <n v="80"/>
    <x v="1"/>
    <n v="2"/>
    <x v="3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s v="Yes"/>
    <n v="12"/>
    <n v="3"/>
    <n v="2"/>
    <n v="80"/>
    <x v="0"/>
    <n v="8"/>
    <x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s v="Yes"/>
    <n v="12"/>
    <n v="3"/>
    <n v="3"/>
    <n v="80"/>
    <x v="2"/>
    <n v="4"/>
    <x v="1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s v="No"/>
    <n v="14"/>
    <n v="3"/>
    <n v="4"/>
    <n v="80"/>
    <x v="1"/>
    <n v="23"/>
    <x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s v="No"/>
    <n v="13"/>
    <n v="3"/>
    <n v="3"/>
    <n v="80"/>
    <x v="0"/>
    <n v="0"/>
    <x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s v="No"/>
    <n v="15"/>
    <n v="3"/>
    <n v="3"/>
    <n v="80"/>
    <x v="3"/>
    <n v="12"/>
    <x v="1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s v="No"/>
    <n v="18"/>
    <n v="3"/>
    <n v="4"/>
    <n v="80"/>
    <x v="3"/>
    <n v="4"/>
    <x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s v="No"/>
    <n v="18"/>
    <n v="3"/>
    <n v="4"/>
    <n v="80"/>
    <x v="1"/>
    <n v="13"/>
    <x v="1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s v="No"/>
    <n v="19"/>
    <n v="3"/>
    <n v="2"/>
    <n v="80"/>
    <x v="0"/>
    <n v="22"/>
    <x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s v="No"/>
    <n v="12"/>
    <n v="3"/>
    <n v="1"/>
    <n v="80"/>
    <x v="0"/>
    <n v="0"/>
    <x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s v="No"/>
    <n v="19"/>
    <n v="3"/>
    <n v="3"/>
    <n v="80"/>
    <x v="0"/>
    <n v="9"/>
    <x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s v="No"/>
    <n v="11"/>
    <n v="3"/>
    <n v="2"/>
    <n v="80"/>
    <x v="1"/>
    <n v="10"/>
    <x v="1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s v="No"/>
    <n v="17"/>
    <n v="3"/>
    <n v="1"/>
    <n v="80"/>
    <x v="2"/>
    <n v="19"/>
    <x v="3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s v="No"/>
    <n v="15"/>
    <n v="3"/>
    <n v="3"/>
    <n v="80"/>
    <x v="1"/>
    <n v="11"/>
    <x v="1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s v="No"/>
    <n v="14"/>
    <n v="3"/>
    <n v="3"/>
    <n v="80"/>
    <x v="1"/>
    <n v="13"/>
    <x v="1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s v="No"/>
    <n v="17"/>
    <n v="3"/>
    <n v="3"/>
    <n v="80"/>
    <x v="1"/>
    <n v="19"/>
    <x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s v="Yes"/>
    <n v="13"/>
    <n v="3"/>
    <n v="4"/>
    <n v="80"/>
    <x v="1"/>
    <n v="12"/>
    <x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s v="Yes"/>
    <n v="12"/>
    <n v="3"/>
    <n v="3"/>
    <n v="80"/>
    <x v="1"/>
    <n v="6"/>
    <x v="5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s v="No"/>
    <n v="12"/>
    <n v="3"/>
    <n v="4"/>
    <n v="80"/>
    <x v="0"/>
    <n v="9"/>
    <x v="4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s v="No"/>
    <n v="18"/>
    <n v="3"/>
    <n v="1"/>
    <n v="80"/>
    <x v="1"/>
    <n v="24"/>
    <x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s v="Yes"/>
    <n v="18"/>
    <n v="3"/>
    <n v="2"/>
    <n v="80"/>
    <x v="1"/>
    <n v="3"/>
    <x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s v="No"/>
    <n v="11"/>
    <n v="3"/>
    <n v="2"/>
    <n v="80"/>
    <x v="3"/>
    <n v="12"/>
    <x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s v="Yes"/>
    <n v="14"/>
    <n v="3"/>
    <n v="4"/>
    <n v="80"/>
    <x v="0"/>
    <n v="21"/>
    <x v="1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s v="No"/>
    <n v="19"/>
    <n v="3"/>
    <n v="1"/>
    <n v="80"/>
    <x v="0"/>
    <n v="9"/>
    <x v="3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s v="Yes"/>
    <n v="12"/>
    <n v="3"/>
    <n v="4"/>
    <n v="80"/>
    <x v="0"/>
    <n v="25"/>
    <x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s v="No"/>
    <n v="15"/>
    <n v="3"/>
    <n v="1"/>
    <n v="80"/>
    <x v="0"/>
    <n v="11"/>
    <x v="1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s v="Yes"/>
    <n v="12"/>
    <n v="3"/>
    <n v="2"/>
    <n v="80"/>
    <x v="0"/>
    <n v="4"/>
    <x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s v="Yes"/>
    <n v="11"/>
    <n v="3"/>
    <n v="4"/>
    <n v="80"/>
    <x v="0"/>
    <n v="13"/>
    <x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s v="Yes"/>
    <n v="11"/>
    <n v="3"/>
    <n v="1"/>
    <n v="80"/>
    <x v="0"/>
    <n v="5"/>
    <x v="1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s v="No"/>
    <n v="12"/>
    <n v="3"/>
    <n v="4"/>
    <n v="80"/>
    <x v="2"/>
    <n v="13"/>
    <x v="1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s v="No"/>
    <n v="16"/>
    <n v="3"/>
    <n v="3"/>
    <n v="80"/>
    <x v="0"/>
    <n v="10"/>
    <x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s v="Yes"/>
    <n v="13"/>
    <n v="3"/>
    <n v="4"/>
    <n v="80"/>
    <x v="0"/>
    <n v="5"/>
    <x v="5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s v="No"/>
    <n v="13"/>
    <n v="3"/>
    <n v="4"/>
    <n v="80"/>
    <x v="3"/>
    <n v="11"/>
    <x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s v="No"/>
    <n v="24"/>
    <n v="4"/>
    <n v="1"/>
    <n v="80"/>
    <x v="1"/>
    <n v="10"/>
    <x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s v="No"/>
    <n v="15"/>
    <n v="3"/>
    <n v="1"/>
    <n v="80"/>
    <x v="1"/>
    <n v="21"/>
    <x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s v="Yes"/>
    <n v="18"/>
    <n v="3"/>
    <n v="1"/>
    <n v="80"/>
    <x v="0"/>
    <n v="12"/>
    <x v="1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s v="No"/>
    <n v="14"/>
    <n v="3"/>
    <n v="3"/>
    <n v="80"/>
    <x v="0"/>
    <n v="9"/>
    <x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s v="No"/>
    <n v="11"/>
    <n v="3"/>
    <n v="2"/>
    <n v="80"/>
    <x v="1"/>
    <n v="21"/>
    <x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s v="No"/>
    <n v="11"/>
    <n v="3"/>
    <n v="2"/>
    <n v="80"/>
    <x v="1"/>
    <n v="9"/>
    <x v="1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s v="Yes"/>
    <n v="13"/>
    <n v="3"/>
    <n v="4"/>
    <n v="80"/>
    <x v="1"/>
    <n v="6"/>
    <x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s v="No"/>
    <n v="12"/>
    <n v="3"/>
    <n v="4"/>
    <n v="80"/>
    <x v="0"/>
    <n v="20"/>
    <x v="5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s v="No"/>
    <n v="16"/>
    <n v="3"/>
    <n v="1"/>
    <n v="80"/>
    <x v="1"/>
    <n v="10"/>
    <x v="4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s v="No"/>
    <n v="14"/>
    <n v="3"/>
    <n v="1"/>
    <n v="80"/>
    <x v="3"/>
    <n v="12"/>
    <x v="1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s v="Yes"/>
    <n v="22"/>
    <n v="4"/>
    <n v="3"/>
    <n v="80"/>
    <x v="2"/>
    <n v="6"/>
    <x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s v="Yes"/>
    <n v="11"/>
    <n v="3"/>
    <n v="4"/>
    <n v="80"/>
    <x v="0"/>
    <n v="7"/>
    <x v="5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s v="No"/>
    <n v="17"/>
    <n v="3"/>
    <n v="3"/>
    <n v="80"/>
    <x v="0"/>
    <n v="4"/>
    <x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s v="No"/>
    <n v="13"/>
    <n v="3"/>
    <n v="3"/>
    <n v="80"/>
    <x v="2"/>
    <n v="10"/>
    <x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s v="No"/>
    <n v="18"/>
    <n v="3"/>
    <n v="1"/>
    <n v="80"/>
    <x v="1"/>
    <n v="8"/>
    <x v="1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s v="No"/>
    <n v="16"/>
    <n v="3"/>
    <n v="3"/>
    <n v="80"/>
    <x v="3"/>
    <n v="8"/>
    <x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s v="Yes"/>
    <n v="14"/>
    <n v="3"/>
    <n v="2"/>
    <n v="80"/>
    <x v="1"/>
    <n v="12"/>
    <x v="1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s v="Yes"/>
    <n v="14"/>
    <n v="3"/>
    <n v="3"/>
    <n v="80"/>
    <x v="0"/>
    <n v="11"/>
    <x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s v="Yes"/>
    <n v="14"/>
    <n v="3"/>
    <n v="1"/>
    <n v="80"/>
    <x v="3"/>
    <n v="7"/>
    <x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s v="No"/>
    <n v="13"/>
    <n v="3"/>
    <n v="4"/>
    <n v="80"/>
    <x v="0"/>
    <n v="17"/>
    <x v="3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s v="No"/>
    <n v="12"/>
    <n v="3"/>
    <n v="3"/>
    <n v="80"/>
    <x v="3"/>
    <n v="4"/>
    <x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s v="Yes"/>
    <n v="15"/>
    <n v="3"/>
    <n v="4"/>
    <n v="80"/>
    <x v="0"/>
    <n v="8"/>
    <x v="1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s v="No"/>
    <n v="19"/>
    <n v="3"/>
    <n v="1"/>
    <n v="80"/>
    <x v="0"/>
    <n v="5"/>
    <x v="1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s v="No"/>
    <n v="14"/>
    <n v="3"/>
    <n v="2"/>
    <n v="80"/>
    <x v="0"/>
    <n v="16"/>
    <x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s v="No"/>
    <n v="14"/>
    <n v="3"/>
    <n v="1"/>
    <n v="80"/>
    <x v="1"/>
    <n v="4"/>
    <x v="1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s v="Yes"/>
    <n v="11"/>
    <n v="3"/>
    <n v="3"/>
    <n v="80"/>
    <x v="1"/>
    <n v="4"/>
    <x v="3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s v="No"/>
    <n v="13"/>
    <n v="3"/>
    <n v="3"/>
    <n v="80"/>
    <x v="1"/>
    <n v="8"/>
    <x v="5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s v="No"/>
    <n v="21"/>
    <n v="4"/>
    <n v="2"/>
    <n v="80"/>
    <x v="1"/>
    <n v="15"/>
    <x v="1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s v="Yes"/>
    <n v="13"/>
    <n v="3"/>
    <n v="1"/>
    <n v="80"/>
    <x v="3"/>
    <n v="13"/>
    <x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s v="Yes"/>
    <n v="12"/>
    <n v="3"/>
    <n v="2"/>
    <n v="80"/>
    <x v="1"/>
    <n v="4"/>
    <x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s v="No"/>
    <n v="17"/>
    <n v="3"/>
    <n v="2"/>
    <n v="80"/>
    <x v="1"/>
    <n v="8"/>
    <x v="1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s v="No"/>
    <n v="23"/>
    <n v="4"/>
    <n v="2"/>
    <n v="80"/>
    <x v="0"/>
    <n v="14"/>
    <x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s v="Yes"/>
    <n v="11"/>
    <n v="3"/>
    <n v="3"/>
    <n v="80"/>
    <x v="0"/>
    <n v="3"/>
    <x v="1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s v="No"/>
    <n v="15"/>
    <n v="3"/>
    <n v="2"/>
    <n v="80"/>
    <x v="0"/>
    <n v="7"/>
    <x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s v="No"/>
    <n v="11"/>
    <n v="3"/>
    <n v="1"/>
    <n v="80"/>
    <x v="1"/>
    <n v="16"/>
    <x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s v="No"/>
    <n v="11"/>
    <n v="3"/>
    <n v="3"/>
    <n v="80"/>
    <x v="0"/>
    <n v="15"/>
    <x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s v="Yes"/>
    <n v="13"/>
    <n v="3"/>
    <n v="3"/>
    <n v="80"/>
    <x v="1"/>
    <n v="10"/>
    <x v="1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s v="No"/>
    <n v="24"/>
    <n v="4"/>
    <n v="3"/>
    <n v="80"/>
    <x v="0"/>
    <n v="3"/>
    <x v="1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s v="Yes"/>
    <n v="13"/>
    <n v="3"/>
    <n v="2"/>
    <n v="80"/>
    <x v="0"/>
    <n v="1"/>
    <x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s v="No"/>
    <n v="20"/>
    <n v="4"/>
    <n v="2"/>
    <n v="80"/>
    <x v="1"/>
    <n v="17"/>
    <x v="1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s v="No"/>
    <n v="14"/>
    <n v="3"/>
    <n v="3"/>
    <n v="80"/>
    <x v="0"/>
    <n v="7"/>
    <x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s v="No"/>
    <n v="18"/>
    <n v="3"/>
    <n v="3"/>
    <n v="80"/>
    <x v="0"/>
    <n v="8"/>
    <x v="3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s v="No"/>
    <n v="15"/>
    <n v="3"/>
    <n v="4"/>
    <n v="80"/>
    <x v="0"/>
    <n v="20"/>
    <x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s v="Yes"/>
    <n v="12"/>
    <n v="3"/>
    <n v="1"/>
    <n v="80"/>
    <x v="3"/>
    <n v="8"/>
    <x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s v="Yes"/>
    <n v="16"/>
    <n v="3"/>
    <n v="4"/>
    <n v="80"/>
    <x v="0"/>
    <n v="3"/>
    <x v="3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s v="No"/>
    <n v="15"/>
    <n v="3"/>
    <n v="4"/>
    <n v="80"/>
    <x v="0"/>
    <n v="1"/>
    <x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s v="No"/>
    <n v="16"/>
    <n v="3"/>
    <n v="4"/>
    <n v="80"/>
    <x v="0"/>
    <n v="6"/>
    <x v="5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s v="No"/>
    <n v="19"/>
    <n v="3"/>
    <n v="3"/>
    <n v="80"/>
    <x v="0"/>
    <n v="10"/>
    <x v="3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s v="No"/>
    <n v="11"/>
    <n v="3"/>
    <n v="2"/>
    <n v="80"/>
    <x v="1"/>
    <n v="5"/>
    <x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s v="No"/>
    <n v="16"/>
    <n v="3"/>
    <n v="4"/>
    <n v="80"/>
    <x v="0"/>
    <n v="7"/>
    <x v="4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s v="No"/>
    <n v="24"/>
    <n v="4"/>
    <n v="3"/>
    <n v="80"/>
    <x v="0"/>
    <n v="26"/>
    <x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s v="No"/>
    <n v="11"/>
    <n v="3"/>
    <n v="3"/>
    <n v="80"/>
    <x v="1"/>
    <n v="18"/>
    <x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s v="No"/>
    <n v="13"/>
    <n v="3"/>
    <n v="2"/>
    <n v="80"/>
    <x v="1"/>
    <n v="6"/>
    <x v="1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s v="Yes"/>
    <n v="13"/>
    <n v="3"/>
    <n v="2"/>
    <n v="80"/>
    <x v="0"/>
    <n v="9"/>
    <x v="1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s v="Yes"/>
    <n v="13"/>
    <n v="3"/>
    <n v="3"/>
    <n v="80"/>
    <x v="0"/>
    <n v="30"/>
    <x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s v="Yes"/>
    <n v="12"/>
    <n v="3"/>
    <n v="4"/>
    <n v="80"/>
    <x v="1"/>
    <n v="5"/>
    <x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s v="No"/>
    <n v="18"/>
    <n v="3"/>
    <n v="1"/>
    <n v="80"/>
    <x v="1"/>
    <n v="1"/>
    <x v="1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s v="No"/>
    <n v="22"/>
    <n v="4"/>
    <n v="3"/>
    <n v="80"/>
    <x v="0"/>
    <n v="7"/>
    <x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s v="No"/>
    <n v="13"/>
    <n v="3"/>
    <n v="4"/>
    <n v="80"/>
    <x v="1"/>
    <n v="2"/>
    <x v="4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s v="No"/>
    <n v="13"/>
    <n v="3"/>
    <n v="2"/>
    <n v="80"/>
    <x v="3"/>
    <n v="10"/>
    <x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s v="Yes"/>
    <n v="23"/>
    <n v="4"/>
    <n v="3"/>
    <n v="80"/>
    <x v="0"/>
    <n v="3"/>
    <x v="5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s v="No"/>
    <n v="12"/>
    <n v="3"/>
    <n v="3"/>
    <n v="80"/>
    <x v="1"/>
    <n v="18"/>
    <x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s v="No"/>
    <n v="12"/>
    <n v="3"/>
    <n v="3"/>
    <n v="80"/>
    <x v="3"/>
    <n v="8"/>
    <x v="3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s v="No"/>
    <n v="16"/>
    <n v="3"/>
    <n v="2"/>
    <n v="80"/>
    <x v="1"/>
    <n v="8"/>
    <x v="3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s v="Yes"/>
    <n v="12"/>
    <n v="3"/>
    <n v="4"/>
    <n v="80"/>
    <x v="0"/>
    <n v="18"/>
    <x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s v="No"/>
    <n v="11"/>
    <n v="3"/>
    <n v="3"/>
    <n v="80"/>
    <x v="1"/>
    <n v="25"/>
    <x v="1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s v="No"/>
    <n v="22"/>
    <n v="4"/>
    <n v="2"/>
    <n v="80"/>
    <x v="1"/>
    <n v="20"/>
    <x v="1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s v="No"/>
    <n v="11"/>
    <n v="3"/>
    <n v="3"/>
    <n v="80"/>
    <x v="1"/>
    <n v="24"/>
    <x v="5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s v="No"/>
    <n v="15"/>
    <n v="3"/>
    <n v="1"/>
    <n v="80"/>
    <x v="1"/>
    <n v="6"/>
    <x v="1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s v="No"/>
    <n v="12"/>
    <n v="3"/>
    <n v="2"/>
    <n v="80"/>
    <x v="1"/>
    <n v="13"/>
    <x v="3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s v="No"/>
    <n v="20"/>
    <n v="4"/>
    <n v="1"/>
    <n v="80"/>
    <x v="1"/>
    <n v="8"/>
    <x v="4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s v="Yes"/>
    <n v="14"/>
    <n v="3"/>
    <n v="4"/>
    <n v="80"/>
    <x v="0"/>
    <n v="8"/>
    <x v="1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s v="Yes"/>
    <n v="11"/>
    <n v="3"/>
    <n v="2"/>
    <n v="80"/>
    <x v="0"/>
    <n v="5"/>
    <x v="1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s v="Yes"/>
    <n v="15"/>
    <n v="3"/>
    <n v="1"/>
    <n v="80"/>
    <x v="3"/>
    <n v="15"/>
    <x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s v="No"/>
    <n v="12"/>
    <n v="3"/>
    <n v="3"/>
    <n v="80"/>
    <x v="1"/>
    <n v="4"/>
    <x v="1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s v="Yes"/>
    <n v="14"/>
    <n v="3"/>
    <n v="3"/>
    <n v="80"/>
    <x v="1"/>
    <n v="21"/>
    <x v="1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s v="No"/>
    <n v="11"/>
    <n v="3"/>
    <n v="4"/>
    <n v="80"/>
    <x v="2"/>
    <n v="36"/>
    <x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s v="No"/>
    <n v="11"/>
    <n v="3"/>
    <n v="2"/>
    <n v="80"/>
    <x v="0"/>
    <n v="6"/>
    <x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s v="No"/>
    <n v="16"/>
    <n v="3"/>
    <n v="3"/>
    <n v="80"/>
    <x v="1"/>
    <n v="10"/>
    <x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s v="No"/>
    <n v="12"/>
    <n v="3"/>
    <n v="4"/>
    <n v="80"/>
    <x v="1"/>
    <n v="10"/>
    <x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s v="No"/>
    <n v="13"/>
    <n v="3"/>
    <n v="3"/>
    <n v="80"/>
    <x v="1"/>
    <n v="6"/>
    <x v="3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s v="Yes"/>
    <n v="14"/>
    <n v="3"/>
    <n v="3"/>
    <n v="80"/>
    <x v="0"/>
    <n v="28"/>
    <x v="5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s v="No"/>
    <n v="21"/>
    <n v="4"/>
    <n v="4"/>
    <n v="80"/>
    <x v="3"/>
    <n v="8"/>
    <x v="1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s v="No"/>
    <n v="13"/>
    <n v="3"/>
    <n v="4"/>
    <n v="80"/>
    <x v="0"/>
    <n v="31"/>
    <x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s v="No"/>
    <n v="11"/>
    <n v="3"/>
    <n v="2"/>
    <n v="80"/>
    <x v="1"/>
    <n v="19"/>
    <x v="1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s v="No"/>
    <n v="20"/>
    <n v="4"/>
    <n v="3"/>
    <n v="80"/>
    <x v="0"/>
    <n v="11"/>
    <x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s v="No"/>
    <n v="11"/>
    <n v="3"/>
    <n v="4"/>
    <n v="80"/>
    <x v="0"/>
    <n v="33"/>
    <x v="3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s v="No"/>
    <n v="14"/>
    <n v="3"/>
    <n v="3"/>
    <n v="80"/>
    <x v="1"/>
    <n v="19"/>
    <x v="3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s v="No"/>
    <n v="11"/>
    <n v="3"/>
    <n v="4"/>
    <n v="80"/>
    <x v="2"/>
    <n v="7"/>
    <x v="5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s v="Yes"/>
    <n v="16"/>
    <n v="3"/>
    <n v="2"/>
    <n v="80"/>
    <x v="0"/>
    <n v="6"/>
    <x v="5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s v="No"/>
    <n v="16"/>
    <n v="3"/>
    <n v="4"/>
    <n v="80"/>
    <x v="1"/>
    <n v="3"/>
    <x v="1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s v="Yes"/>
    <n v="23"/>
    <n v="4"/>
    <n v="3"/>
    <n v="80"/>
    <x v="1"/>
    <n v="1"/>
    <x v="1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s v="No"/>
    <n v="14"/>
    <n v="3"/>
    <n v="4"/>
    <n v="80"/>
    <x v="0"/>
    <n v="21"/>
    <x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s v="No"/>
    <n v="22"/>
    <n v="4"/>
    <n v="2"/>
    <n v="80"/>
    <x v="3"/>
    <n v="3"/>
    <x v="1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s v="No"/>
    <n v="15"/>
    <n v="3"/>
    <n v="3"/>
    <n v="80"/>
    <x v="1"/>
    <n v="9"/>
    <x v="1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s v="No"/>
    <n v="18"/>
    <n v="3"/>
    <n v="3"/>
    <n v="80"/>
    <x v="0"/>
    <n v="10"/>
    <x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s v="No"/>
    <n v="16"/>
    <n v="3"/>
    <n v="2"/>
    <n v="80"/>
    <x v="0"/>
    <n v="6"/>
    <x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s v="No"/>
    <n v="12"/>
    <n v="3"/>
    <n v="3"/>
    <n v="80"/>
    <x v="0"/>
    <n v="1"/>
    <x v="1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s v="No"/>
    <n v="11"/>
    <n v="3"/>
    <n v="3"/>
    <n v="80"/>
    <x v="0"/>
    <n v="10"/>
    <x v="1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s v="No"/>
    <n v="12"/>
    <n v="3"/>
    <n v="3"/>
    <n v="80"/>
    <x v="1"/>
    <n v="32"/>
    <x v="1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s v="No"/>
    <n v="15"/>
    <n v="3"/>
    <n v="2"/>
    <n v="80"/>
    <x v="1"/>
    <n v="28"/>
    <x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s v="No"/>
    <n v="14"/>
    <n v="3"/>
    <n v="3"/>
    <n v="80"/>
    <x v="0"/>
    <n v="12"/>
    <x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s v="No"/>
    <n v="19"/>
    <n v="3"/>
    <n v="4"/>
    <n v="80"/>
    <x v="0"/>
    <n v="22"/>
    <x v="3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s v="No"/>
    <n v="13"/>
    <n v="3"/>
    <n v="3"/>
    <n v="80"/>
    <x v="2"/>
    <n v="20"/>
    <x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s v="No"/>
    <n v="13"/>
    <n v="3"/>
    <n v="3"/>
    <n v="80"/>
    <x v="0"/>
    <n v="26"/>
    <x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s v="No"/>
    <n v="15"/>
    <n v="3"/>
    <n v="3"/>
    <n v="80"/>
    <x v="0"/>
    <n v="6"/>
    <x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s v="No"/>
    <n v="11"/>
    <n v="3"/>
    <n v="3"/>
    <n v="80"/>
    <x v="0"/>
    <n v="19"/>
    <x v="1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s v="No"/>
    <n v="12"/>
    <n v="3"/>
    <n v="3"/>
    <n v="80"/>
    <x v="1"/>
    <n v="14"/>
    <x v="1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s v="Yes"/>
    <n v="19"/>
    <n v="3"/>
    <n v="3"/>
    <n v="80"/>
    <x v="1"/>
    <n v="15"/>
    <x v="1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s v="No"/>
    <n v="25"/>
    <n v="4"/>
    <n v="4"/>
    <n v="80"/>
    <x v="1"/>
    <n v="13"/>
    <x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s v="Yes"/>
    <n v="12"/>
    <n v="3"/>
    <n v="4"/>
    <n v="80"/>
    <x v="0"/>
    <n v="15"/>
    <x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s v="No"/>
    <n v="13"/>
    <n v="3"/>
    <n v="1"/>
    <n v="80"/>
    <x v="2"/>
    <n v="8"/>
    <x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s v="No"/>
    <n v="14"/>
    <n v="3"/>
    <n v="1"/>
    <n v="80"/>
    <x v="0"/>
    <n v="4"/>
    <x v="1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s v="Yes"/>
    <n v="12"/>
    <n v="3"/>
    <n v="3"/>
    <n v="80"/>
    <x v="0"/>
    <n v="10"/>
    <x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s v="No"/>
    <n v="12"/>
    <n v="3"/>
    <n v="1"/>
    <n v="80"/>
    <x v="0"/>
    <n v="12"/>
    <x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s v="Yes"/>
    <n v="15"/>
    <n v="3"/>
    <n v="3"/>
    <n v="80"/>
    <x v="2"/>
    <n v="11"/>
    <x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s v="No"/>
    <n v="17"/>
    <n v="3"/>
    <n v="4"/>
    <n v="80"/>
    <x v="1"/>
    <n v="8"/>
    <x v="5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s v="No"/>
    <n v="14"/>
    <n v="3"/>
    <n v="4"/>
    <n v="80"/>
    <x v="0"/>
    <n v="10"/>
    <x v="1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s v="No"/>
    <n v="16"/>
    <n v="3"/>
    <n v="3"/>
    <n v="80"/>
    <x v="0"/>
    <n v="4"/>
    <x v="1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s v="No"/>
    <n v="14"/>
    <n v="3"/>
    <n v="1"/>
    <n v="80"/>
    <x v="1"/>
    <n v="14"/>
    <x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s v="No"/>
    <n v="23"/>
    <n v="4"/>
    <n v="4"/>
    <n v="80"/>
    <x v="0"/>
    <n v="37"/>
    <x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s v="No"/>
    <n v="14"/>
    <n v="3"/>
    <n v="4"/>
    <n v="80"/>
    <x v="0"/>
    <n v="16"/>
    <x v="1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s v="No"/>
    <n v="11"/>
    <n v="3"/>
    <n v="3"/>
    <n v="80"/>
    <x v="0"/>
    <n v="15"/>
    <x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s v="No"/>
    <n v="15"/>
    <n v="3"/>
    <n v="3"/>
    <n v="80"/>
    <x v="0"/>
    <n v="22"/>
    <x v="1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s v="No"/>
    <n v="11"/>
    <n v="3"/>
    <n v="1"/>
    <n v="80"/>
    <x v="1"/>
    <n v="8"/>
    <x v="1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s v="Yes"/>
    <n v="13"/>
    <n v="3"/>
    <n v="3"/>
    <n v="80"/>
    <x v="0"/>
    <n v="10"/>
    <x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s v="Yes"/>
    <n v="21"/>
    <n v="4"/>
    <n v="4"/>
    <n v="80"/>
    <x v="1"/>
    <n v="10"/>
    <x v="3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s v="No"/>
    <n v="19"/>
    <n v="3"/>
    <n v="2"/>
    <n v="80"/>
    <x v="1"/>
    <n v="9"/>
    <x v="1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s v="Yes"/>
    <n v="11"/>
    <n v="3"/>
    <n v="2"/>
    <n v="80"/>
    <x v="1"/>
    <n v="8"/>
    <x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s v="No"/>
    <n v="12"/>
    <n v="3"/>
    <n v="2"/>
    <n v="80"/>
    <x v="3"/>
    <n v="8"/>
    <x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s v="No"/>
    <n v="19"/>
    <n v="3"/>
    <n v="3"/>
    <n v="80"/>
    <x v="1"/>
    <n v="10"/>
    <x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s v="No"/>
    <n v="21"/>
    <n v="4"/>
    <n v="3"/>
    <n v="80"/>
    <x v="1"/>
    <n v="10"/>
    <x v="1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s v="Yes"/>
    <n v="14"/>
    <n v="3"/>
    <n v="4"/>
    <n v="80"/>
    <x v="0"/>
    <n v="0"/>
    <x v="1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s v="No"/>
    <n v="15"/>
    <n v="3"/>
    <n v="3"/>
    <n v="80"/>
    <x v="1"/>
    <n v="20"/>
    <x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s v="Yes"/>
    <n v="17"/>
    <n v="3"/>
    <n v="1"/>
    <n v="80"/>
    <x v="0"/>
    <n v="10"/>
    <x v="1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s v="No"/>
    <n v="12"/>
    <n v="3"/>
    <n v="1"/>
    <n v="80"/>
    <x v="3"/>
    <n v="8"/>
    <x v="3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s v="No"/>
    <n v="16"/>
    <n v="3"/>
    <n v="4"/>
    <n v="80"/>
    <x v="0"/>
    <n v="5"/>
    <x v="1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s v="No"/>
    <n v="12"/>
    <n v="3"/>
    <n v="4"/>
    <n v="80"/>
    <x v="0"/>
    <n v="10"/>
    <x v="1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s v="Yes"/>
    <n v="18"/>
    <n v="3"/>
    <n v="2"/>
    <n v="80"/>
    <x v="0"/>
    <n v="1"/>
    <x v="1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s v="No"/>
    <n v="17"/>
    <n v="3"/>
    <n v="4"/>
    <n v="80"/>
    <x v="0"/>
    <n v="12"/>
    <x v="1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s v="No"/>
    <n v="11"/>
    <n v="3"/>
    <n v="4"/>
    <n v="80"/>
    <x v="0"/>
    <n v="28"/>
    <x v="1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s v="No"/>
    <n v="16"/>
    <n v="3"/>
    <n v="2"/>
    <n v="80"/>
    <x v="1"/>
    <n v="22"/>
    <x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s v="No"/>
    <n v="13"/>
    <n v="3"/>
    <n v="4"/>
    <n v="80"/>
    <x v="1"/>
    <n v="9"/>
    <x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s v="Yes"/>
    <n v="12"/>
    <n v="3"/>
    <n v="2"/>
    <n v="80"/>
    <x v="3"/>
    <n v="18"/>
    <x v="1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s v="No"/>
    <n v="12"/>
    <n v="3"/>
    <n v="4"/>
    <n v="80"/>
    <x v="0"/>
    <n v="6"/>
    <x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s v="No"/>
    <n v="13"/>
    <n v="3"/>
    <n v="3"/>
    <n v="80"/>
    <x v="3"/>
    <n v="3"/>
    <x v="1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s v="No"/>
    <n v="19"/>
    <n v="3"/>
    <n v="3"/>
    <n v="80"/>
    <x v="1"/>
    <n v="18"/>
    <x v="5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s v="No"/>
    <n v="12"/>
    <n v="3"/>
    <n v="2"/>
    <n v="80"/>
    <x v="1"/>
    <n v="8"/>
    <x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s v="Yes"/>
    <n v="17"/>
    <n v="3"/>
    <n v="3"/>
    <n v="80"/>
    <x v="1"/>
    <n v="31"/>
    <x v="3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s v="Yes"/>
    <n v="11"/>
    <n v="3"/>
    <n v="2"/>
    <n v="80"/>
    <x v="3"/>
    <n v="6"/>
    <x v="1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s v="No"/>
    <n v="20"/>
    <n v="4"/>
    <n v="4"/>
    <n v="80"/>
    <x v="3"/>
    <n v="6"/>
    <x v="3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s v="No"/>
    <n v="21"/>
    <n v="4"/>
    <n v="4"/>
    <n v="80"/>
    <x v="1"/>
    <n v="1"/>
    <x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s v="No"/>
    <n v="11"/>
    <n v="3"/>
    <n v="3"/>
    <n v="80"/>
    <x v="1"/>
    <n v="32"/>
    <x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s v="No"/>
    <n v="11"/>
    <n v="3"/>
    <n v="3"/>
    <n v="80"/>
    <x v="0"/>
    <n v="7"/>
    <x v="4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s v="Yes"/>
    <n v="16"/>
    <n v="3"/>
    <n v="4"/>
    <n v="80"/>
    <x v="1"/>
    <n v="6"/>
    <x v="5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s v="No"/>
    <n v="18"/>
    <n v="3"/>
    <n v="3"/>
    <n v="80"/>
    <x v="1"/>
    <n v="1"/>
    <x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s v="Yes"/>
    <n v="13"/>
    <n v="3"/>
    <n v="4"/>
    <n v="80"/>
    <x v="1"/>
    <n v="6"/>
    <x v="1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s v="No"/>
    <n v="17"/>
    <n v="3"/>
    <n v="3"/>
    <n v="80"/>
    <x v="0"/>
    <n v="9"/>
    <x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s v="No"/>
    <n v="14"/>
    <n v="3"/>
    <n v="4"/>
    <n v="80"/>
    <x v="0"/>
    <n v="9"/>
    <x v="1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s v="No"/>
    <n v="22"/>
    <n v="4"/>
    <n v="4"/>
    <n v="80"/>
    <x v="3"/>
    <n v="13"/>
    <x v="5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s v="No"/>
    <n v="12"/>
    <n v="3"/>
    <n v="3"/>
    <n v="80"/>
    <x v="3"/>
    <n v="6"/>
    <x v="3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s v="Yes"/>
    <n v="11"/>
    <n v="3"/>
    <n v="3"/>
    <n v="80"/>
    <x v="1"/>
    <n v="17"/>
    <x v="1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s v="No"/>
    <n v="13"/>
    <n v="3"/>
    <n v="4"/>
    <n v="80"/>
    <x v="0"/>
    <n v="1"/>
    <x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s v="No"/>
    <n v="13"/>
    <n v="3"/>
    <n v="2"/>
    <n v="80"/>
    <x v="3"/>
    <n v="10"/>
    <x v="5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s v="Yes"/>
    <n v="14"/>
    <n v="3"/>
    <n v="3"/>
    <n v="80"/>
    <x v="1"/>
    <n v="21"/>
    <x v="1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s v="No"/>
    <n v="17"/>
    <n v="3"/>
    <n v="4"/>
    <n v="80"/>
    <x v="0"/>
    <n v="8"/>
    <x v="1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s v="Yes"/>
    <n v="13"/>
    <n v="3"/>
    <n v="2"/>
    <n v="80"/>
    <x v="1"/>
    <n v="10"/>
    <x v="1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s v="No"/>
    <n v="11"/>
    <n v="3"/>
    <n v="1"/>
    <n v="80"/>
    <x v="1"/>
    <n v="21"/>
    <x v="1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s v="No"/>
    <n v="11"/>
    <n v="3"/>
    <n v="2"/>
    <n v="80"/>
    <x v="0"/>
    <n v="10"/>
    <x v="4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s v="Yes"/>
    <n v="18"/>
    <n v="3"/>
    <n v="4"/>
    <n v="80"/>
    <x v="3"/>
    <n v="8"/>
    <x v="1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s v="No"/>
    <n v="11"/>
    <n v="3"/>
    <n v="2"/>
    <n v="80"/>
    <x v="1"/>
    <n v="5"/>
    <x v="1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s v="No"/>
    <n v="11"/>
    <n v="3"/>
    <n v="3"/>
    <n v="80"/>
    <x v="0"/>
    <n v="3"/>
    <x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s v="Yes"/>
    <n v="12"/>
    <n v="3"/>
    <n v="1"/>
    <n v="80"/>
    <x v="1"/>
    <n v="26"/>
    <x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s v="No"/>
    <n v="20"/>
    <n v="4"/>
    <n v="4"/>
    <n v="80"/>
    <x v="0"/>
    <n v="3"/>
    <x v="1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s v="No"/>
    <n v="12"/>
    <n v="3"/>
    <n v="4"/>
    <n v="80"/>
    <x v="0"/>
    <n v="6"/>
    <x v="1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s v="Yes"/>
    <n v="12"/>
    <n v="3"/>
    <n v="4"/>
    <n v="80"/>
    <x v="1"/>
    <n v="6"/>
    <x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s v="No"/>
    <n v="20"/>
    <n v="4"/>
    <n v="3"/>
    <n v="80"/>
    <x v="1"/>
    <n v="1"/>
    <x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s v="No"/>
    <n v="20"/>
    <n v="4"/>
    <n v="4"/>
    <n v="80"/>
    <x v="0"/>
    <n v="18"/>
    <x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s v="No"/>
    <n v="12"/>
    <n v="3"/>
    <n v="4"/>
    <n v="80"/>
    <x v="1"/>
    <n v="10"/>
    <x v="5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s v="No"/>
    <n v="14"/>
    <n v="3"/>
    <n v="4"/>
    <n v="80"/>
    <x v="3"/>
    <n v="5"/>
    <x v="5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s v="Yes"/>
    <n v="13"/>
    <n v="3"/>
    <n v="3"/>
    <n v="80"/>
    <x v="1"/>
    <n v="3"/>
    <x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s v="No"/>
    <n v="15"/>
    <n v="3"/>
    <n v="3"/>
    <n v="80"/>
    <x v="1"/>
    <n v="10"/>
    <x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s v="No"/>
    <n v="14"/>
    <n v="3"/>
    <n v="1"/>
    <n v="80"/>
    <x v="1"/>
    <n v="6"/>
    <x v="3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s v="No"/>
    <n v="13"/>
    <n v="3"/>
    <n v="2"/>
    <n v="80"/>
    <x v="0"/>
    <n v="17"/>
    <x v="1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s v="No"/>
    <n v="23"/>
    <n v="4"/>
    <n v="3"/>
    <n v="80"/>
    <x v="1"/>
    <n v="15"/>
    <x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s v="No"/>
    <n v="15"/>
    <n v="3"/>
    <n v="3"/>
    <n v="80"/>
    <x v="1"/>
    <n v="16"/>
    <x v="4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s v="Yes"/>
    <n v="11"/>
    <n v="3"/>
    <n v="3"/>
    <n v="80"/>
    <x v="1"/>
    <n v="13"/>
    <x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s v="No"/>
    <n v="13"/>
    <n v="3"/>
    <n v="4"/>
    <n v="80"/>
    <x v="0"/>
    <n v="5"/>
    <x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s v="Yes"/>
    <n v="11"/>
    <n v="3"/>
    <n v="4"/>
    <n v="80"/>
    <x v="0"/>
    <n v="1"/>
    <x v="3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s v="Yes"/>
    <n v="11"/>
    <n v="3"/>
    <n v="1"/>
    <n v="80"/>
    <x v="0"/>
    <n v="10"/>
    <x v="1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s v="No"/>
    <n v="18"/>
    <n v="3"/>
    <n v="3"/>
    <n v="80"/>
    <x v="3"/>
    <n v="1"/>
    <x v="1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s v="No"/>
    <n v="16"/>
    <n v="3"/>
    <n v="1"/>
    <n v="80"/>
    <x v="1"/>
    <n v="5"/>
    <x v="1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s v="No"/>
    <n v="22"/>
    <n v="4"/>
    <n v="3"/>
    <n v="80"/>
    <x v="1"/>
    <n v="4"/>
    <x v="5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s v="No"/>
    <n v="20"/>
    <n v="4"/>
    <n v="1"/>
    <n v="80"/>
    <x v="0"/>
    <n v="8"/>
    <x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s v="No"/>
    <n v="18"/>
    <n v="3"/>
    <n v="4"/>
    <n v="80"/>
    <x v="1"/>
    <n v="10"/>
    <x v="3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s v="No"/>
    <n v="12"/>
    <n v="3"/>
    <n v="4"/>
    <n v="80"/>
    <x v="0"/>
    <n v="12"/>
    <x v="1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s v="Yes"/>
    <n v="20"/>
    <n v="4"/>
    <n v="2"/>
    <n v="80"/>
    <x v="3"/>
    <n v="6"/>
    <x v="1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s v="No"/>
    <n v="17"/>
    <n v="3"/>
    <n v="1"/>
    <n v="80"/>
    <x v="0"/>
    <n v="4"/>
    <x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s v="Yes"/>
    <n v="11"/>
    <n v="3"/>
    <n v="3"/>
    <n v="80"/>
    <x v="2"/>
    <n v="20"/>
    <x v="1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s v="No"/>
    <n v="14"/>
    <n v="3"/>
    <n v="2"/>
    <n v="80"/>
    <x v="0"/>
    <n v="9"/>
    <x v="1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s v="No"/>
    <n v="14"/>
    <n v="3"/>
    <n v="1"/>
    <n v="80"/>
    <x v="0"/>
    <n v="4"/>
    <x v="1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s v="No"/>
    <n v="11"/>
    <n v="3"/>
    <n v="1"/>
    <n v="80"/>
    <x v="0"/>
    <n v="20"/>
    <x v="5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s v="No"/>
    <n v="12"/>
    <n v="3"/>
    <n v="4"/>
    <n v="80"/>
    <x v="0"/>
    <n v="10"/>
    <x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s v="Yes"/>
    <n v="14"/>
    <n v="3"/>
    <n v="1"/>
    <n v="80"/>
    <x v="1"/>
    <n v="18"/>
    <x v="5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s v="No"/>
    <n v="13"/>
    <n v="3"/>
    <n v="3"/>
    <n v="80"/>
    <x v="0"/>
    <n v="10"/>
    <x v="5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s v="No"/>
    <n v="11"/>
    <n v="3"/>
    <n v="4"/>
    <n v="80"/>
    <x v="0"/>
    <n v="9"/>
    <x v="1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s v="No"/>
    <n v="15"/>
    <n v="3"/>
    <n v="4"/>
    <n v="80"/>
    <x v="0"/>
    <n v="10"/>
    <x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s v="No"/>
    <n v="12"/>
    <n v="3"/>
    <n v="4"/>
    <n v="80"/>
    <x v="0"/>
    <n v="20"/>
    <x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s v="Yes"/>
    <n v="21"/>
    <n v="4"/>
    <n v="3"/>
    <n v="80"/>
    <x v="1"/>
    <n v="20"/>
    <x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s v="No"/>
    <n v="19"/>
    <n v="3"/>
    <n v="3"/>
    <n v="80"/>
    <x v="0"/>
    <n v="32"/>
    <x v="1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s v="No"/>
    <n v="15"/>
    <n v="3"/>
    <n v="2"/>
    <n v="80"/>
    <x v="2"/>
    <n v="23"/>
    <x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s v="No"/>
    <n v="14"/>
    <n v="3"/>
    <n v="4"/>
    <n v="80"/>
    <x v="0"/>
    <n v="10"/>
    <x v="4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s v="No"/>
    <n v="21"/>
    <n v="4"/>
    <n v="3"/>
    <n v="80"/>
    <x v="3"/>
    <n v="9"/>
    <x v="5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s v="No"/>
    <n v="12"/>
    <n v="3"/>
    <n v="2"/>
    <n v="80"/>
    <x v="1"/>
    <n v="22"/>
    <x v="1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s v="No"/>
    <n v="15"/>
    <n v="3"/>
    <n v="4"/>
    <n v="80"/>
    <x v="1"/>
    <n v="4"/>
    <x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s v="Yes"/>
    <n v="13"/>
    <n v="3"/>
    <n v="4"/>
    <n v="80"/>
    <x v="0"/>
    <n v="10"/>
    <x v="5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s v="No"/>
    <n v="14"/>
    <n v="3"/>
    <n v="1"/>
    <n v="80"/>
    <x v="1"/>
    <n v="10"/>
    <x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s v="Yes"/>
    <n v="14"/>
    <n v="3"/>
    <n v="4"/>
    <n v="80"/>
    <x v="0"/>
    <n v="10"/>
    <x v="5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s v="No"/>
    <n v="14"/>
    <n v="3"/>
    <n v="3"/>
    <n v="80"/>
    <x v="0"/>
    <n v="9"/>
    <x v="3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s v="Yes"/>
    <n v="12"/>
    <n v="3"/>
    <n v="4"/>
    <n v="80"/>
    <x v="3"/>
    <n v="28"/>
    <x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s v="No"/>
    <n v="23"/>
    <n v="4"/>
    <n v="4"/>
    <n v="80"/>
    <x v="1"/>
    <n v="10"/>
    <x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s v="No"/>
    <n v="11"/>
    <n v="3"/>
    <n v="3"/>
    <n v="80"/>
    <x v="0"/>
    <n v="1"/>
    <x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s v="Yes"/>
    <n v="12"/>
    <n v="3"/>
    <n v="4"/>
    <n v="80"/>
    <x v="0"/>
    <n v="7"/>
    <x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s v="No"/>
    <n v="18"/>
    <n v="3"/>
    <n v="3"/>
    <n v="80"/>
    <x v="1"/>
    <n v="7"/>
    <x v="3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s v="No"/>
    <n v="11"/>
    <n v="3"/>
    <n v="4"/>
    <n v="80"/>
    <x v="0"/>
    <n v="10"/>
    <x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s v="No"/>
    <n v="14"/>
    <n v="3"/>
    <n v="4"/>
    <n v="80"/>
    <x v="1"/>
    <n v="5"/>
    <x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s v="No"/>
    <n v="15"/>
    <n v="3"/>
    <n v="3"/>
    <n v="80"/>
    <x v="1"/>
    <n v="12"/>
    <x v="1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s v="No"/>
    <n v="11"/>
    <n v="3"/>
    <n v="3"/>
    <n v="80"/>
    <x v="0"/>
    <n v="30"/>
    <x v="4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s v="Yes"/>
    <n v="20"/>
    <n v="4"/>
    <n v="4"/>
    <n v="80"/>
    <x v="0"/>
    <n v="5"/>
    <x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s v="No"/>
    <n v="19"/>
    <n v="3"/>
    <n v="1"/>
    <n v="80"/>
    <x v="0"/>
    <n v="9"/>
    <x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s v="No"/>
    <n v="14"/>
    <n v="3"/>
    <n v="4"/>
    <n v="80"/>
    <x v="3"/>
    <n v="2"/>
    <x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s v="No"/>
    <n v="17"/>
    <n v="3"/>
    <n v="4"/>
    <n v="80"/>
    <x v="0"/>
    <n v="19"/>
    <x v="5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s v="No"/>
    <n v="11"/>
    <n v="3"/>
    <n v="1"/>
    <n v="80"/>
    <x v="1"/>
    <n v="16"/>
    <x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s v="No"/>
    <n v="15"/>
    <n v="3"/>
    <n v="4"/>
    <n v="80"/>
    <x v="3"/>
    <n v="10"/>
    <x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s v="Yes"/>
    <n v="13"/>
    <n v="3"/>
    <n v="2"/>
    <n v="80"/>
    <x v="1"/>
    <n v="6"/>
    <x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s v="No"/>
    <n v="14"/>
    <n v="3"/>
    <n v="3"/>
    <n v="80"/>
    <x v="1"/>
    <n v="7"/>
    <x v="1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s v="No"/>
    <n v="11"/>
    <n v="3"/>
    <n v="1"/>
    <n v="80"/>
    <x v="0"/>
    <n v="34"/>
    <x v="1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s v="Yes"/>
    <n v="13"/>
    <n v="3"/>
    <n v="3"/>
    <n v="80"/>
    <x v="0"/>
    <n v="10"/>
    <x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s v="No"/>
    <n v="23"/>
    <n v="4"/>
    <n v="2"/>
    <n v="80"/>
    <x v="0"/>
    <n v="6"/>
    <x v="3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s v="No"/>
    <n v="13"/>
    <n v="3"/>
    <n v="1"/>
    <n v="80"/>
    <x v="0"/>
    <n v="9"/>
    <x v="1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s v="No"/>
    <n v="18"/>
    <n v="3"/>
    <n v="4"/>
    <n v="80"/>
    <x v="0"/>
    <n v="2"/>
    <x v="1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s v="Yes"/>
    <n v="12"/>
    <n v="3"/>
    <n v="4"/>
    <n v="80"/>
    <x v="0"/>
    <n v="8"/>
    <x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s v="No"/>
    <n v="22"/>
    <n v="4"/>
    <n v="3"/>
    <n v="80"/>
    <x v="0"/>
    <n v="6"/>
    <x v="3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s v="Yes"/>
    <n v="13"/>
    <n v="3"/>
    <n v="4"/>
    <n v="80"/>
    <x v="1"/>
    <n v="24"/>
    <x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s v="No"/>
    <n v="15"/>
    <n v="3"/>
    <n v="2"/>
    <n v="80"/>
    <x v="0"/>
    <n v="10"/>
    <x v="4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s v="No"/>
    <n v="18"/>
    <n v="3"/>
    <n v="1"/>
    <n v="80"/>
    <x v="1"/>
    <n v="5"/>
    <x v="1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s v="No"/>
    <n v="14"/>
    <n v="3"/>
    <n v="1"/>
    <n v="80"/>
    <x v="1"/>
    <n v="5"/>
    <x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s v="No"/>
    <n v="12"/>
    <n v="3"/>
    <n v="1"/>
    <n v="80"/>
    <x v="1"/>
    <n v="11"/>
    <x v="1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s v="No"/>
    <n v="17"/>
    <n v="3"/>
    <n v="3"/>
    <n v="80"/>
    <x v="0"/>
    <n v="6"/>
    <x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s v="No"/>
    <n v="16"/>
    <n v="3"/>
    <n v="3"/>
    <n v="80"/>
    <x v="0"/>
    <n v="10"/>
    <x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s v="Yes"/>
    <n v="11"/>
    <n v="3"/>
    <n v="2"/>
    <n v="80"/>
    <x v="3"/>
    <n v="9"/>
    <x v="5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s v="No"/>
    <n v="19"/>
    <n v="3"/>
    <n v="2"/>
    <n v="80"/>
    <x v="1"/>
    <n v="5"/>
    <x v="1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s v="Yes"/>
    <n v="13"/>
    <n v="3"/>
    <n v="2"/>
    <n v="80"/>
    <x v="3"/>
    <n v="6"/>
    <x v="1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s v="Yes"/>
    <n v="12"/>
    <n v="3"/>
    <n v="4"/>
    <n v="80"/>
    <x v="0"/>
    <n v="17"/>
    <x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s v="No"/>
    <n v="11"/>
    <n v="3"/>
    <n v="3"/>
    <n v="80"/>
    <x v="0"/>
    <n v="6"/>
    <x v="1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s v="No"/>
    <n v="16"/>
    <n v="3"/>
    <n v="2"/>
    <n v="80"/>
    <x v="1"/>
    <n v="3"/>
    <x v="4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s v="No"/>
    <n v="21"/>
    <n v="4"/>
    <n v="3"/>
    <n v="80"/>
    <x v="3"/>
    <n v="7"/>
    <x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s v="No"/>
    <n v="24"/>
    <n v="4"/>
    <n v="4"/>
    <n v="80"/>
    <x v="1"/>
    <n v="8"/>
    <x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s v="No"/>
    <n v="17"/>
    <n v="3"/>
    <n v="2"/>
    <n v="80"/>
    <x v="1"/>
    <n v="6"/>
    <x v="4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s v="No"/>
    <n v="13"/>
    <n v="3"/>
    <n v="2"/>
    <n v="80"/>
    <x v="1"/>
    <n v="24"/>
    <x v="5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s v="Yes"/>
    <n v="21"/>
    <n v="4"/>
    <n v="3"/>
    <n v="80"/>
    <x v="3"/>
    <n v="1"/>
    <x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s v="No"/>
    <n v="11"/>
    <n v="3"/>
    <n v="3"/>
    <n v="80"/>
    <x v="2"/>
    <n v="1"/>
    <x v="5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s v="No"/>
    <n v="20"/>
    <n v="4"/>
    <n v="2"/>
    <n v="80"/>
    <x v="1"/>
    <n v="9"/>
    <x v="1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s v="No"/>
    <n v="16"/>
    <n v="3"/>
    <n v="4"/>
    <n v="80"/>
    <x v="0"/>
    <n v="30"/>
    <x v="1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s v="Yes"/>
    <n v="11"/>
    <n v="3"/>
    <n v="4"/>
    <n v="80"/>
    <x v="1"/>
    <n v="1"/>
    <x v="4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s v="No"/>
    <n v="11"/>
    <n v="3"/>
    <n v="4"/>
    <n v="80"/>
    <x v="0"/>
    <n v="14"/>
    <x v="1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s v="No"/>
    <n v="15"/>
    <n v="3"/>
    <n v="3"/>
    <n v="80"/>
    <x v="0"/>
    <n v="6"/>
    <x v="1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s v="Yes"/>
    <n v="11"/>
    <n v="3"/>
    <n v="3"/>
    <n v="80"/>
    <x v="1"/>
    <n v="26"/>
    <x v="1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s v="No"/>
    <n v="15"/>
    <n v="3"/>
    <n v="1"/>
    <n v="80"/>
    <x v="1"/>
    <n v="10"/>
    <x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s v="No"/>
    <n v="24"/>
    <n v="4"/>
    <n v="3"/>
    <n v="80"/>
    <x v="1"/>
    <n v="10"/>
    <x v="1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s v="Yes"/>
    <n v="12"/>
    <n v="3"/>
    <n v="4"/>
    <n v="80"/>
    <x v="0"/>
    <n v="40"/>
    <x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s v="No"/>
    <n v="13"/>
    <n v="3"/>
    <n v="3"/>
    <n v="80"/>
    <x v="0"/>
    <n v="7"/>
    <x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s v="Yes"/>
    <n v="13"/>
    <n v="3"/>
    <n v="4"/>
    <n v="80"/>
    <x v="1"/>
    <n v="8"/>
    <x v="5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s v="No"/>
    <n v="17"/>
    <n v="3"/>
    <n v="4"/>
    <n v="80"/>
    <x v="0"/>
    <n v="5"/>
    <x v="1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s v="No"/>
    <n v="13"/>
    <n v="3"/>
    <n v="2"/>
    <n v="80"/>
    <x v="1"/>
    <n v="8"/>
    <x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s v="No"/>
    <n v="12"/>
    <n v="3"/>
    <n v="3"/>
    <n v="80"/>
    <x v="1"/>
    <n v="14"/>
    <x v="1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s v="No"/>
    <n v="14"/>
    <n v="3"/>
    <n v="4"/>
    <n v="80"/>
    <x v="0"/>
    <n v="10"/>
    <x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s v="Yes"/>
    <n v="24"/>
    <n v="4"/>
    <n v="2"/>
    <n v="80"/>
    <x v="0"/>
    <n v="12"/>
    <x v="5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s v="No"/>
    <n v="14"/>
    <n v="3"/>
    <n v="4"/>
    <n v="80"/>
    <x v="0"/>
    <n v="1"/>
    <x v="1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s v="No"/>
    <n v="13"/>
    <n v="3"/>
    <n v="4"/>
    <n v="80"/>
    <x v="1"/>
    <n v="10"/>
    <x v="1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s v="No"/>
    <n v="15"/>
    <n v="3"/>
    <n v="3"/>
    <n v="80"/>
    <x v="1"/>
    <n v="13"/>
    <x v="1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s v="No"/>
    <n v="16"/>
    <n v="3"/>
    <n v="3"/>
    <n v="80"/>
    <x v="0"/>
    <n v="6"/>
    <x v="1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s v="No"/>
    <n v="18"/>
    <n v="3"/>
    <n v="1"/>
    <n v="80"/>
    <x v="3"/>
    <n v="9"/>
    <x v="1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s v="No"/>
    <n v="16"/>
    <n v="3"/>
    <n v="3"/>
    <n v="80"/>
    <x v="0"/>
    <n v="12"/>
    <x v="1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s v="No"/>
    <n v="24"/>
    <n v="4"/>
    <n v="3"/>
    <n v="80"/>
    <x v="1"/>
    <n v="22"/>
    <x v="1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s v="Yes"/>
    <n v="16"/>
    <n v="3"/>
    <n v="2"/>
    <n v="80"/>
    <x v="1"/>
    <n v="9"/>
    <x v="1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s v="No"/>
    <n v="21"/>
    <n v="4"/>
    <n v="2"/>
    <n v="80"/>
    <x v="0"/>
    <n v="17"/>
    <x v="1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s v="Yes"/>
    <n v="20"/>
    <n v="4"/>
    <n v="1"/>
    <n v="80"/>
    <x v="0"/>
    <n v="8"/>
    <x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s v="No"/>
    <n v="19"/>
    <n v="3"/>
    <n v="3"/>
    <n v="80"/>
    <x v="1"/>
    <n v="4"/>
    <x v="4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s v="Yes"/>
    <n v="14"/>
    <n v="3"/>
    <n v="1"/>
    <n v="80"/>
    <x v="1"/>
    <n v="8"/>
    <x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s v="No"/>
    <n v="11"/>
    <n v="3"/>
    <n v="3"/>
    <n v="80"/>
    <x v="2"/>
    <n v="0"/>
    <x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s v="No"/>
    <n v="14"/>
    <n v="3"/>
    <n v="3"/>
    <n v="80"/>
    <x v="1"/>
    <n v="29"/>
    <x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s v="No"/>
    <n v="12"/>
    <n v="3"/>
    <n v="4"/>
    <n v="80"/>
    <x v="0"/>
    <n v="10"/>
    <x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s v="No"/>
    <n v="13"/>
    <n v="3"/>
    <n v="3"/>
    <n v="80"/>
    <x v="0"/>
    <n v="6"/>
    <x v="1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s v="No"/>
    <n v="22"/>
    <n v="4"/>
    <n v="1"/>
    <n v="80"/>
    <x v="1"/>
    <n v="9"/>
    <x v="3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s v="No"/>
    <n v="11"/>
    <n v="3"/>
    <n v="4"/>
    <n v="80"/>
    <x v="0"/>
    <n v="6"/>
    <x v="1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s v="Yes"/>
    <n v="14"/>
    <n v="3"/>
    <n v="4"/>
    <n v="80"/>
    <x v="1"/>
    <n v="18"/>
    <x v="4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s v="No"/>
    <n v="11"/>
    <n v="3"/>
    <n v="3"/>
    <n v="80"/>
    <x v="1"/>
    <n v="8"/>
    <x v="1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s v="No"/>
    <n v="12"/>
    <n v="3"/>
    <n v="2"/>
    <n v="80"/>
    <x v="1"/>
    <n v="10"/>
    <x v="1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s v="Yes"/>
    <n v="18"/>
    <n v="3"/>
    <n v="4"/>
    <n v="80"/>
    <x v="1"/>
    <n v="35"/>
    <x v="1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s v="Yes"/>
    <n v="12"/>
    <n v="3"/>
    <n v="3"/>
    <n v="80"/>
    <x v="1"/>
    <n v="18"/>
    <x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s v="No"/>
    <n v="12"/>
    <n v="3"/>
    <n v="3"/>
    <n v="80"/>
    <x v="1"/>
    <n v="9"/>
    <x v="1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s v="No"/>
    <n v="22"/>
    <n v="4"/>
    <n v="3"/>
    <n v="80"/>
    <x v="0"/>
    <n v="31"/>
    <x v="1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s v="No"/>
    <n v="19"/>
    <n v="3"/>
    <n v="4"/>
    <n v="80"/>
    <x v="3"/>
    <n v="9"/>
    <x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s v="No"/>
    <n v="13"/>
    <n v="3"/>
    <n v="4"/>
    <n v="80"/>
    <x v="1"/>
    <n v="6"/>
    <x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s v="No"/>
    <n v="22"/>
    <n v="4"/>
    <n v="1"/>
    <n v="80"/>
    <x v="3"/>
    <n v="4"/>
    <x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s v="Yes"/>
    <n v="24"/>
    <n v="4"/>
    <n v="3"/>
    <n v="80"/>
    <x v="1"/>
    <n v="10"/>
    <x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s v="Yes"/>
    <n v="14"/>
    <n v="3"/>
    <n v="4"/>
    <n v="80"/>
    <x v="0"/>
    <n v="8"/>
    <x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s v="No"/>
    <n v="21"/>
    <n v="4"/>
    <n v="3"/>
    <n v="80"/>
    <x v="0"/>
    <n v="6"/>
    <x v="1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s v="Yes"/>
    <n v="18"/>
    <n v="3"/>
    <n v="4"/>
    <n v="80"/>
    <x v="0"/>
    <n v="5"/>
    <x v="1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s v="Yes"/>
    <n v="20"/>
    <n v="4"/>
    <n v="2"/>
    <n v="80"/>
    <x v="1"/>
    <n v="17"/>
    <x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s v="Yes"/>
    <n v="19"/>
    <n v="3"/>
    <n v="1"/>
    <n v="80"/>
    <x v="1"/>
    <n v="10"/>
    <x v="1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s v="No"/>
    <n v="12"/>
    <n v="3"/>
    <n v="2"/>
    <n v="80"/>
    <x v="1"/>
    <n v="4"/>
    <x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s v="No"/>
    <n v="12"/>
    <n v="3"/>
    <n v="1"/>
    <n v="80"/>
    <x v="0"/>
    <n v="5"/>
    <x v="4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s v="No"/>
    <n v="16"/>
    <n v="3"/>
    <n v="2"/>
    <n v="80"/>
    <x v="1"/>
    <n v="7"/>
    <x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s v="No"/>
    <n v="17"/>
    <n v="3"/>
    <n v="4"/>
    <n v="80"/>
    <x v="0"/>
    <n v="6"/>
    <x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s v="No"/>
    <n v="14"/>
    <n v="3"/>
    <n v="4"/>
    <n v="80"/>
    <x v="1"/>
    <n v="10"/>
    <x v="1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s v="No"/>
    <n v="19"/>
    <n v="3"/>
    <n v="4"/>
    <n v="80"/>
    <x v="1"/>
    <n v="3"/>
    <x v="1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s v="Yes"/>
    <n v="13"/>
    <n v="3"/>
    <n v="2"/>
    <n v="80"/>
    <x v="1"/>
    <n v="17"/>
    <x v="4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s v="Yes"/>
    <n v="19"/>
    <n v="3"/>
    <n v="2"/>
    <n v="80"/>
    <x v="1"/>
    <n v="8"/>
    <x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s v="Yes"/>
    <n v="19"/>
    <n v="3"/>
    <n v="3"/>
    <n v="80"/>
    <x v="2"/>
    <n v="5"/>
    <x v="1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s v="No"/>
    <n v="14"/>
    <n v="3"/>
    <n v="3"/>
    <n v="80"/>
    <x v="1"/>
    <n v="28"/>
    <x v="1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s v="No"/>
    <n v="16"/>
    <n v="3"/>
    <n v="1"/>
    <n v="80"/>
    <x v="0"/>
    <n v="16"/>
    <x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s v="No"/>
    <n v="15"/>
    <n v="3"/>
    <n v="2"/>
    <n v="80"/>
    <x v="1"/>
    <n v="10"/>
    <x v="1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s v="No"/>
    <n v="18"/>
    <n v="3"/>
    <n v="3"/>
    <n v="80"/>
    <x v="0"/>
    <n v="33"/>
    <x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s v="No"/>
    <n v="13"/>
    <n v="3"/>
    <n v="2"/>
    <n v="80"/>
    <x v="1"/>
    <n v="12"/>
    <x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s v="Yes"/>
    <n v="22"/>
    <n v="4"/>
    <n v="1"/>
    <n v="80"/>
    <x v="1"/>
    <n v="8"/>
    <x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s v="Yes"/>
    <n v="13"/>
    <n v="3"/>
    <n v="4"/>
    <n v="80"/>
    <x v="0"/>
    <n v="10"/>
    <x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s v="No"/>
    <n v="11"/>
    <n v="3"/>
    <n v="4"/>
    <n v="80"/>
    <x v="1"/>
    <n v="31"/>
    <x v="1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s v="No"/>
    <n v="11"/>
    <n v="3"/>
    <n v="3"/>
    <n v="80"/>
    <x v="3"/>
    <n v="13"/>
    <x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s v="Yes"/>
    <n v="11"/>
    <n v="3"/>
    <n v="3"/>
    <n v="80"/>
    <x v="1"/>
    <n v="7"/>
    <x v="5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s v="Yes"/>
    <n v="24"/>
    <n v="4"/>
    <n v="3"/>
    <n v="80"/>
    <x v="0"/>
    <n v="1"/>
    <x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s v="No"/>
    <n v="14"/>
    <n v="3"/>
    <n v="3"/>
    <n v="80"/>
    <x v="2"/>
    <n v="8"/>
    <x v="3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s v="Yes"/>
    <n v="13"/>
    <n v="3"/>
    <n v="4"/>
    <n v="80"/>
    <x v="0"/>
    <n v="8"/>
    <x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s v="No"/>
    <n v="14"/>
    <n v="3"/>
    <n v="2"/>
    <n v="80"/>
    <x v="0"/>
    <n v="4"/>
    <x v="1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s v="Yes"/>
    <n v="14"/>
    <n v="3"/>
    <n v="4"/>
    <n v="80"/>
    <x v="1"/>
    <n v="3"/>
    <x v="1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s v="No"/>
    <n v="21"/>
    <n v="4"/>
    <n v="3"/>
    <n v="80"/>
    <x v="1"/>
    <n v="4"/>
    <x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s v="No"/>
    <n v="13"/>
    <n v="3"/>
    <n v="4"/>
    <n v="80"/>
    <x v="0"/>
    <n v="2"/>
    <x v="1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s v="No"/>
    <n v="19"/>
    <n v="3"/>
    <n v="1"/>
    <n v="80"/>
    <x v="0"/>
    <n v="1"/>
    <x v="1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s v="Yes"/>
    <n v="17"/>
    <n v="3"/>
    <n v="1"/>
    <n v="80"/>
    <x v="1"/>
    <n v="17"/>
    <x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s v="Yes"/>
    <n v="18"/>
    <n v="3"/>
    <n v="1"/>
    <n v="80"/>
    <x v="0"/>
    <n v="3"/>
    <x v="1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s v="Yes"/>
    <n v="19"/>
    <n v="3"/>
    <n v="1"/>
    <n v="80"/>
    <x v="1"/>
    <n v="4"/>
    <x v="1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s v="Yes"/>
    <n v="13"/>
    <n v="3"/>
    <n v="3"/>
    <n v="80"/>
    <x v="1"/>
    <n v="10"/>
    <x v="4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s v="No"/>
    <n v="18"/>
    <n v="3"/>
    <n v="2"/>
    <n v="80"/>
    <x v="1"/>
    <n v="6"/>
    <x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s v="Yes"/>
    <n v="21"/>
    <n v="4"/>
    <n v="4"/>
    <n v="80"/>
    <x v="0"/>
    <n v="8"/>
    <x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s v="No"/>
    <n v="19"/>
    <n v="3"/>
    <n v="3"/>
    <n v="80"/>
    <x v="0"/>
    <n v="1"/>
    <x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s v="No"/>
    <n v="14"/>
    <n v="3"/>
    <n v="2"/>
    <n v="80"/>
    <x v="3"/>
    <n v="1"/>
    <x v="1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s v="No"/>
    <n v="17"/>
    <n v="3"/>
    <n v="1"/>
    <n v="80"/>
    <x v="0"/>
    <n v="10"/>
    <x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s v="Yes"/>
    <n v="11"/>
    <n v="3"/>
    <n v="2"/>
    <n v="80"/>
    <x v="0"/>
    <n v="6"/>
    <x v="4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s v="Yes"/>
    <n v="13"/>
    <n v="3"/>
    <n v="4"/>
    <n v="80"/>
    <x v="1"/>
    <n v="24"/>
    <x v="1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s v="No"/>
    <n v="15"/>
    <n v="3"/>
    <n v="2"/>
    <n v="80"/>
    <x v="0"/>
    <n v="13"/>
    <x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s v="Yes"/>
    <n v="25"/>
    <n v="4"/>
    <n v="4"/>
    <n v="80"/>
    <x v="1"/>
    <n v="10"/>
    <x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s v="No"/>
    <n v="11"/>
    <n v="3"/>
    <n v="3"/>
    <n v="80"/>
    <x v="1"/>
    <n v="29"/>
    <x v="1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s v="No"/>
    <n v="17"/>
    <n v="3"/>
    <n v="1"/>
    <n v="80"/>
    <x v="3"/>
    <n v="13"/>
    <x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s v="No"/>
    <n v="13"/>
    <n v="3"/>
    <n v="4"/>
    <n v="80"/>
    <x v="1"/>
    <n v="9"/>
    <x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s v="No"/>
    <n v="18"/>
    <n v="3"/>
    <n v="3"/>
    <n v="80"/>
    <x v="0"/>
    <n v="8"/>
    <x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s v="No"/>
    <n v="13"/>
    <n v="3"/>
    <n v="2"/>
    <n v="80"/>
    <x v="1"/>
    <n v="15"/>
    <x v="1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s v="No"/>
    <n v="20"/>
    <n v="4"/>
    <n v="3"/>
    <n v="80"/>
    <x v="0"/>
    <n v="5"/>
    <x v="1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s v="Yes"/>
    <n v="18"/>
    <n v="3"/>
    <n v="3"/>
    <n v="80"/>
    <x v="2"/>
    <n v="1"/>
    <x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s v="No"/>
    <n v="12"/>
    <n v="3"/>
    <n v="2"/>
    <n v="80"/>
    <x v="1"/>
    <n v="11"/>
    <x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s v="No"/>
    <n v="12"/>
    <n v="3"/>
    <n v="2"/>
    <n v="80"/>
    <x v="0"/>
    <n v="7"/>
    <x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s v="Yes"/>
    <n v="13"/>
    <n v="3"/>
    <n v="3"/>
    <n v="80"/>
    <x v="0"/>
    <n v="20"/>
    <x v="1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s v="No"/>
    <n v="21"/>
    <n v="4"/>
    <n v="3"/>
    <n v="80"/>
    <x v="0"/>
    <n v="16"/>
    <x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s v="Yes"/>
    <n v="13"/>
    <n v="3"/>
    <n v="2"/>
    <n v="80"/>
    <x v="0"/>
    <n v="1"/>
    <x v="1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s v="No"/>
    <n v="19"/>
    <n v="3"/>
    <n v="2"/>
    <n v="80"/>
    <x v="0"/>
    <n v="1"/>
    <x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s v="Yes"/>
    <n v="11"/>
    <n v="3"/>
    <n v="3"/>
    <n v="80"/>
    <x v="3"/>
    <n v="10"/>
    <x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s v="Yes"/>
    <n v="14"/>
    <n v="3"/>
    <n v="4"/>
    <n v="80"/>
    <x v="1"/>
    <n v="3"/>
    <x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s v="No"/>
    <n v="12"/>
    <n v="3"/>
    <n v="3"/>
    <n v="80"/>
    <x v="1"/>
    <n v="8"/>
    <x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s v="Yes"/>
    <n v="11"/>
    <n v="3"/>
    <n v="1"/>
    <n v="80"/>
    <x v="1"/>
    <n v="16"/>
    <x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s v="No"/>
    <n v="14"/>
    <n v="3"/>
    <n v="1"/>
    <n v="80"/>
    <x v="0"/>
    <n v="6"/>
    <x v="1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s v="No"/>
    <n v="11"/>
    <n v="3"/>
    <n v="3"/>
    <n v="80"/>
    <x v="0"/>
    <n v="17"/>
    <x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s v="No"/>
    <n v="12"/>
    <n v="3"/>
    <n v="2"/>
    <n v="80"/>
    <x v="0"/>
    <n v="9"/>
    <x v="3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s v="No"/>
    <n v="15"/>
    <n v="3"/>
    <n v="2"/>
    <n v="80"/>
    <x v="1"/>
    <n v="3"/>
    <x v="3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s v="No"/>
    <n v="16"/>
    <n v="3"/>
    <n v="2"/>
    <n v="80"/>
    <x v="0"/>
    <n v="5"/>
    <x v="1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s v="No"/>
    <n v="15"/>
    <n v="3"/>
    <n v="2"/>
    <n v="80"/>
    <x v="1"/>
    <n v="26"/>
    <x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s v="No"/>
    <n v="24"/>
    <n v="4"/>
    <n v="1"/>
    <n v="80"/>
    <x v="0"/>
    <n v="7"/>
    <x v="5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s v="No"/>
    <n v="13"/>
    <n v="3"/>
    <n v="3"/>
    <n v="80"/>
    <x v="1"/>
    <n v="22"/>
    <x v="1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s v="No"/>
    <n v="11"/>
    <n v="3"/>
    <n v="1"/>
    <n v="80"/>
    <x v="1"/>
    <n v="10"/>
    <x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s v="Yes"/>
    <n v="13"/>
    <n v="3"/>
    <n v="2"/>
    <n v="80"/>
    <x v="0"/>
    <n v="6"/>
    <x v="4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s v="No"/>
    <n v="13"/>
    <n v="3"/>
    <n v="2"/>
    <n v="80"/>
    <x v="1"/>
    <n v="12"/>
    <x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s v="No"/>
    <n v="18"/>
    <n v="3"/>
    <n v="4"/>
    <n v="80"/>
    <x v="0"/>
    <n v="9"/>
    <x v="1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s v="Yes"/>
    <n v="16"/>
    <n v="3"/>
    <n v="4"/>
    <n v="80"/>
    <x v="0"/>
    <n v="22"/>
    <x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s v="Yes"/>
    <n v="19"/>
    <n v="3"/>
    <n v="3"/>
    <n v="80"/>
    <x v="0"/>
    <n v="20"/>
    <x v="1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s v="No"/>
    <n v="13"/>
    <n v="3"/>
    <n v="4"/>
    <n v="80"/>
    <x v="3"/>
    <n v="12"/>
    <x v="1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s v="Yes"/>
    <n v="22"/>
    <n v="4"/>
    <n v="1"/>
    <n v="80"/>
    <x v="0"/>
    <n v="4"/>
    <x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s v="No"/>
    <n v="11"/>
    <n v="3"/>
    <n v="4"/>
    <n v="80"/>
    <x v="0"/>
    <n v="10"/>
    <x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s v="Yes"/>
    <n v="20"/>
    <n v="4"/>
    <n v="3"/>
    <n v="80"/>
    <x v="0"/>
    <n v="3"/>
    <x v="3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s v="No"/>
    <n v="18"/>
    <n v="3"/>
    <n v="1"/>
    <n v="80"/>
    <x v="0"/>
    <n v="5"/>
    <x v="5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s v="No"/>
    <n v="14"/>
    <n v="3"/>
    <n v="4"/>
    <n v="80"/>
    <x v="3"/>
    <n v="8"/>
    <x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s v="No"/>
    <n v="22"/>
    <n v="4"/>
    <n v="3"/>
    <n v="80"/>
    <x v="1"/>
    <n v="32"/>
    <x v="4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s v="Yes"/>
    <n v="13"/>
    <n v="3"/>
    <n v="1"/>
    <n v="80"/>
    <x v="1"/>
    <n v="6"/>
    <x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s v="No"/>
    <n v="17"/>
    <n v="3"/>
    <n v="2"/>
    <n v="80"/>
    <x v="1"/>
    <n v="21"/>
    <x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s v="No"/>
    <n v="14"/>
    <n v="3"/>
    <n v="2"/>
    <n v="80"/>
    <x v="1"/>
    <n v="4"/>
    <x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s v="Yes"/>
    <n v="15"/>
    <n v="3"/>
    <n v="3"/>
    <n v="80"/>
    <x v="1"/>
    <n v="9"/>
    <x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s v="Yes"/>
    <n v="17"/>
    <n v="3"/>
    <n v="3"/>
    <n v="80"/>
    <x v="0"/>
    <n v="9"/>
    <x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s v="Yes"/>
    <n v="11"/>
    <n v="3"/>
    <n v="2"/>
    <n v="80"/>
    <x v="0"/>
    <n v="7"/>
    <x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s v="Yes"/>
    <n v="18"/>
    <n v="3"/>
    <n v="4"/>
    <n v="80"/>
    <x v="1"/>
    <n v="22"/>
    <x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s v="No"/>
    <n v="17"/>
    <n v="3"/>
    <n v="2"/>
    <n v="80"/>
    <x v="1"/>
    <n v="3"/>
    <x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s v="No"/>
    <n v="13"/>
    <n v="3"/>
    <n v="2"/>
    <n v="80"/>
    <x v="1"/>
    <n v="13"/>
    <x v="1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s v="No"/>
    <n v="15"/>
    <n v="3"/>
    <n v="2"/>
    <n v="80"/>
    <x v="3"/>
    <n v="5"/>
    <x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s v="Yes"/>
    <n v="24"/>
    <n v="4"/>
    <n v="4"/>
    <n v="80"/>
    <x v="1"/>
    <n v="5"/>
    <x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s v="No"/>
    <n v="12"/>
    <n v="3"/>
    <n v="3"/>
    <n v="80"/>
    <x v="1"/>
    <n v="4"/>
    <x v="4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s v="No"/>
    <n v="15"/>
    <n v="3"/>
    <n v="4"/>
    <n v="80"/>
    <x v="0"/>
    <n v="0"/>
    <x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s v="No"/>
    <n v="11"/>
    <n v="3"/>
    <n v="3"/>
    <n v="80"/>
    <x v="1"/>
    <n v="22"/>
    <x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s v="Yes"/>
    <n v="11"/>
    <n v="3"/>
    <n v="3"/>
    <n v="80"/>
    <x v="1"/>
    <n v="16"/>
    <x v="1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s v="Yes"/>
    <n v="12"/>
    <n v="3"/>
    <n v="3"/>
    <n v="80"/>
    <x v="2"/>
    <n v="9"/>
    <x v="5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s v="Yes"/>
    <n v="15"/>
    <n v="3"/>
    <n v="1"/>
    <n v="80"/>
    <x v="0"/>
    <n v="1"/>
    <x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s v="No"/>
    <n v="17"/>
    <n v="3"/>
    <n v="1"/>
    <n v="80"/>
    <x v="0"/>
    <n v="4"/>
    <x v="1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s v="No"/>
    <n v="12"/>
    <n v="3"/>
    <n v="2"/>
    <n v="80"/>
    <x v="0"/>
    <n v="8"/>
    <x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s v="No"/>
    <n v="15"/>
    <n v="3"/>
    <n v="1"/>
    <n v="80"/>
    <x v="1"/>
    <n v="4"/>
    <x v="1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s v="No"/>
    <n v="13"/>
    <n v="3"/>
    <n v="4"/>
    <n v="80"/>
    <x v="0"/>
    <n v="19"/>
    <x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s v="No"/>
    <n v="14"/>
    <n v="3"/>
    <n v="2"/>
    <n v="80"/>
    <x v="0"/>
    <n v="27"/>
    <x v="1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s v="No"/>
    <n v="14"/>
    <n v="3"/>
    <n v="2"/>
    <n v="80"/>
    <x v="0"/>
    <n v="8"/>
    <x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s v="No"/>
    <n v="16"/>
    <n v="3"/>
    <n v="3"/>
    <n v="80"/>
    <x v="1"/>
    <n v="21"/>
    <x v="1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s v="No"/>
    <n v="18"/>
    <n v="3"/>
    <n v="2"/>
    <n v="80"/>
    <x v="1"/>
    <n v="4"/>
    <x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s v="No"/>
    <n v="20"/>
    <n v="4"/>
    <n v="1"/>
    <n v="80"/>
    <x v="1"/>
    <n v="3"/>
    <x v="5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s v="No"/>
    <n v="13"/>
    <n v="3"/>
    <n v="2"/>
    <n v="80"/>
    <x v="0"/>
    <n v="21"/>
    <x v="1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s v="No"/>
    <n v="18"/>
    <n v="3"/>
    <n v="2"/>
    <n v="80"/>
    <x v="0"/>
    <n v="8"/>
    <x v="3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s v="Yes"/>
    <n v="13"/>
    <n v="3"/>
    <n v="1"/>
    <n v="80"/>
    <x v="0"/>
    <n v="30"/>
    <x v="5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s v="No"/>
    <n v="15"/>
    <n v="3"/>
    <n v="1"/>
    <n v="80"/>
    <x v="0"/>
    <n v="15"/>
    <x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s v="Yes"/>
    <n v="14"/>
    <n v="3"/>
    <n v="4"/>
    <n v="80"/>
    <x v="3"/>
    <n v="17"/>
    <x v="1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s v="No"/>
    <n v="22"/>
    <n v="4"/>
    <n v="2"/>
    <n v="80"/>
    <x v="3"/>
    <n v="21"/>
    <x v="1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s v="Yes"/>
    <n v="12"/>
    <n v="3"/>
    <n v="3"/>
    <n v="80"/>
    <x v="0"/>
    <n v="19"/>
    <x v="4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s v="No"/>
    <n v="18"/>
    <n v="3"/>
    <n v="4"/>
    <n v="80"/>
    <x v="0"/>
    <n v="7"/>
    <x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s v="No"/>
    <n v="15"/>
    <n v="3"/>
    <n v="4"/>
    <n v="80"/>
    <x v="1"/>
    <n v="33"/>
    <x v="1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s v="Yes"/>
    <n v="18"/>
    <n v="3"/>
    <n v="3"/>
    <n v="80"/>
    <x v="1"/>
    <n v="23"/>
    <x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s v="No"/>
    <n v="12"/>
    <n v="3"/>
    <n v="1"/>
    <n v="80"/>
    <x v="1"/>
    <n v="19"/>
    <x v="1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s v="No"/>
    <n v="16"/>
    <n v="3"/>
    <n v="3"/>
    <n v="80"/>
    <x v="0"/>
    <n v="18"/>
    <x v="4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s v="Yes"/>
    <n v="13"/>
    <n v="3"/>
    <n v="3"/>
    <n v="80"/>
    <x v="0"/>
    <n v="21"/>
    <x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s v="No"/>
    <n v="19"/>
    <n v="3"/>
    <n v="4"/>
    <n v="80"/>
    <x v="0"/>
    <n v="3"/>
    <x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s v="No"/>
    <n v="13"/>
    <n v="3"/>
    <n v="2"/>
    <n v="80"/>
    <x v="1"/>
    <n v="26"/>
    <x v="5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s v="No"/>
    <n v="12"/>
    <n v="3"/>
    <n v="2"/>
    <n v="80"/>
    <x v="0"/>
    <n v="10"/>
    <x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s v="No"/>
    <n v="11"/>
    <n v="3"/>
    <n v="4"/>
    <n v="80"/>
    <x v="1"/>
    <n v="16"/>
    <x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s v="Yes"/>
    <n v="14"/>
    <n v="3"/>
    <n v="3"/>
    <n v="80"/>
    <x v="1"/>
    <n v="14"/>
    <x v="4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s v="No"/>
    <n v="16"/>
    <n v="3"/>
    <n v="1"/>
    <n v="80"/>
    <x v="0"/>
    <n v="6"/>
    <x v="1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s v="No"/>
    <n v="12"/>
    <n v="3"/>
    <n v="1"/>
    <n v="80"/>
    <x v="1"/>
    <n v="30"/>
    <x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s v="No"/>
    <n v="14"/>
    <n v="3"/>
    <n v="2"/>
    <n v="80"/>
    <x v="1"/>
    <n v="9"/>
    <x v="1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s v="Yes"/>
    <n v="14"/>
    <n v="3"/>
    <n v="2"/>
    <n v="80"/>
    <x v="1"/>
    <n v="6"/>
    <x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s v="Yes"/>
    <n v="19"/>
    <n v="3"/>
    <n v="4"/>
    <n v="80"/>
    <x v="1"/>
    <n v="1"/>
    <x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s v="No"/>
    <n v="22"/>
    <n v="4"/>
    <n v="2"/>
    <n v="80"/>
    <x v="0"/>
    <n v="1"/>
    <x v="3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s v="No"/>
    <n v="16"/>
    <n v="3"/>
    <n v="1"/>
    <n v="80"/>
    <x v="1"/>
    <n v="8"/>
    <x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s v="Yes"/>
    <n v="11"/>
    <n v="3"/>
    <n v="4"/>
    <n v="80"/>
    <x v="1"/>
    <n v="29"/>
    <x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s v="No"/>
    <n v="15"/>
    <n v="3"/>
    <n v="1"/>
    <n v="80"/>
    <x v="0"/>
    <n v="8"/>
    <x v="1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s v="No"/>
    <n v="14"/>
    <n v="3"/>
    <n v="2"/>
    <n v="80"/>
    <x v="1"/>
    <n v="8"/>
    <x v="1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s v="No"/>
    <n v="13"/>
    <n v="3"/>
    <n v="3"/>
    <n v="80"/>
    <x v="3"/>
    <n v="5"/>
    <x v="3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s v="No"/>
    <n v="17"/>
    <n v="3"/>
    <n v="4"/>
    <n v="80"/>
    <x v="3"/>
    <n v="23"/>
    <x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s v="No"/>
    <n v="11"/>
    <n v="3"/>
    <n v="2"/>
    <n v="80"/>
    <x v="1"/>
    <n v="13"/>
    <x v="5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s v="No"/>
    <n v="19"/>
    <n v="3"/>
    <n v="2"/>
    <n v="80"/>
    <x v="1"/>
    <n v="18"/>
    <x v="5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s v="No"/>
    <n v="11"/>
    <n v="3"/>
    <n v="2"/>
    <n v="80"/>
    <x v="0"/>
    <n v="15"/>
    <x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s v="No"/>
    <n v="15"/>
    <n v="3"/>
    <n v="2"/>
    <n v="80"/>
    <x v="0"/>
    <n v="31"/>
    <x v="1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s v="No"/>
    <n v="13"/>
    <n v="3"/>
    <n v="3"/>
    <n v="80"/>
    <x v="1"/>
    <n v="18"/>
    <x v="3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s v="Yes"/>
    <n v="14"/>
    <n v="3"/>
    <n v="2"/>
    <n v="80"/>
    <x v="0"/>
    <n v="2"/>
    <x v="1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s v="No"/>
    <n v="13"/>
    <n v="3"/>
    <n v="1"/>
    <n v="80"/>
    <x v="0"/>
    <n v="1"/>
    <x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s v="Yes"/>
    <n v="23"/>
    <n v="4"/>
    <n v="1"/>
    <n v="80"/>
    <x v="2"/>
    <n v="19"/>
    <x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s v="Yes"/>
    <n v="12"/>
    <n v="3"/>
    <n v="3"/>
    <n v="80"/>
    <x v="2"/>
    <n v="18"/>
    <x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s v="No"/>
    <n v="12"/>
    <n v="3"/>
    <n v="1"/>
    <n v="80"/>
    <x v="0"/>
    <n v="10"/>
    <x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s v="No"/>
    <n v="16"/>
    <n v="3"/>
    <n v="1"/>
    <n v="80"/>
    <x v="3"/>
    <n v="6"/>
    <x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s v="No"/>
    <n v="15"/>
    <n v="3"/>
    <n v="3"/>
    <n v="80"/>
    <x v="1"/>
    <n v="7"/>
    <x v="4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s v="No"/>
    <n v="13"/>
    <n v="3"/>
    <n v="3"/>
    <n v="80"/>
    <x v="0"/>
    <n v="10"/>
    <x v="1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s v="No"/>
    <n v="18"/>
    <n v="3"/>
    <n v="1"/>
    <n v="80"/>
    <x v="1"/>
    <n v="20"/>
    <x v="5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s v="No"/>
    <n v="20"/>
    <n v="4"/>
    <n v="4"/>
    <n v="80"/>
    <x v="1"/>
    <n v="14"/>
    <x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s v="No"/>
    <n v="19"/>
    <n v="3"/>
    <n v="4"/>
    <n v="80"/>
    <x v="2"/>
    <n v="3"/>
    <x v="5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s v="No"/>
    <n v="18"/>
    <n v="3"/>
    <n v="2"/>
    <n v="80"/>
    <x v="1"/>
    <n v="23"/>
    <x v="5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s v="No"/>
    <n v="13"/>
    <n v="3"/>
    <n v="4"/>
    <n v="80"/>
    <x v="0"/>
    <n v="10"/>
    <x v="5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s v="No"/>
    <n v="14"/>
    <n v="3"/>
    <n v="4"/>
    <n v="80"/>
    <x v="1"/>
    <n v="24"/>
    <x v="4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s v="No"/>
    <n v="15"/>
    <n v="3"/>
    <n v="3"/>
    <n v="80"/>
    <x v="1"/>
    <n v="9"/>
    <x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s v="Yes"/>
    <n v="22"/>
    <n v="4"/>
    <n v="1"/>
    <n v="80"/>
    <x v="0"/>
    <n v="9"/>
    <x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s v="No"/>
    <n v="22"/>
    <n v="4"/>
    <n v="2"/>
    <n v="80"/>
    <x v="0"/>
    <n v="14"/>
    <x v="5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s v="No"/>
    <n v="16"/>
    <n v="3"/>
    <n v="4"/>
    <n v="80"/>
    <x v="1"/>
    <n v="4"/>
    <x v="3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s v="No"/>
    <n v="17"/>
    <n v="3"/>
    <n v="3"/>
    <n v="80"/>
    <x v="0"/>
    <n v="7"/>
    <x v="4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s v="Yes"/>
    <n v="14"/>
    <n v="3"/>
    <n v="3"/>
    <n v="80"/>
    <x v="2"/>
    <n v="8"/>
    <x v="3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s v="Yes"/>
    <n v="15"/>
    <n v="3"/>
    <n v="2"/>
    <n v="80"/>
    <x v="1"/>
    <n v="7"/>
    <x v="1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s v="No"/>
    <n v="20"/>
    <n v="4"/>
    <n v="3"/>
    <n v="80"/>
    <x v="1"/>
    <n v="1"/>
    <x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s v="Yes"/>
    <n v="20"/>
    <n v="4"/>
    <n v="2"/>
    <n v="80"/>
    <x v="0"/>
    <n v="5"/>
    <x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s v="No"/>
    <n v="17"/>
    <n v="3"/>
    <n v="4"/>
    <n v="80"/>
    <x v="1"/>
    <n v="23"/>
    <x v="1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s v="No"/>
    <n v="15"/>
    <n v="3"/>
    <n v="1"/>
    <n v="80"/>
    <x v="3"/>
    <n v="1"/>
    <x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s v="Yes"/>
    <n v="14"/>
    <n v="3"/>
    <n v="4"/>
    <n v="80"/>
    <x v="0"/>
    <n v="5"/>
    <x v="5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s v="No"/>
    <n v="17"/>
    <n v="3"/>
    <n v="3"/>
    <n v="80"/>
    <x v="1"/>
    <n v="4"/>
    <x v="1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s v="No"/>
    <n v="17"/>
    <n v="3"/>
    <n v="4"/>
    <n v="80"/>
    <x v="2"/>
    <n v="6"/>
    <x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s v="No"/>
    <n v="22"/>
    <n v="4"/>
    <n v="3"/>
    <n v="80"/>
    <x v="0"/>
    <n v="27"/>
    <x v="1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s v="No"/>
    <n v="13"/>
    <n v="3"/>
    <n v="4"/>
    <n v="80"/>
    <x v="1"/>
    <n v="15"/>
    <x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s v="No"/>
    <n v="19"/>
    <n v="3"/>
    <n v="4"/>
    <n v="80"/>
    <x v="0"/>
    <n v="18"/>
    <x v="5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s v="Yes"/>
    <n v="14"/>
    <n v="3"/>
    <n v="2"/>
    <n v="80"/>
    <x v="3"/>
    <n v="9"/>
    <x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s v="No"/>
    <n v="22"/>
    <n v="4"/>
    <n v="1"/>
    <n v="80"/>
    <x v="1"/>
    <n v="11"/>
    <x v="4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s v="No"/>
    <n v="17"/>
    <n v="3"/>
    <n v="2"/>
    <n v="80"/>
    <x v="2"/>
    <n v="10"/>
    <x v="1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s v="No"/>
    <n v="12"/>
    <n v="3"/>
    <n v="4"/>
    <n v="80"/>
    <x v="1"/>
    <n v="23"/>
    <x v="1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s v="No"/>
    <n v="16"/>
    <n v="3"/>
    <n v="3"/>
    <n v="80"/>
    <x v="0"/>
    <n v="10"/>
    <x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s v="No"/>
    <n v="11"/>
    <n v="3"/>
    <n v="3"/>
    <n v="80"/>
    <x v="1"/>
    <n v="18"/>
    <x v="4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s v="No"/>
    <n v="11"/>
    <n v="3"/>
    <n v="4"/>
    <n v="80"/>
    <x v="2"/>
    <n v="21"/>
    <x v="5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s v="No"/>
    <n v="14"/>
    <n v="3"/>
    <n v="1"/>
    <n v="80"/>
    <x v="0"/>
    <n v="21"/>
    <x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s v="Yes"/>
    <n v="11"/>
    <n v="3"/>
    <n v="3"/>
    <n v="80"/>
    <x v="0"/>
    <n v="2"/>
    <x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s v="No"/>
    <n v="15"/>
    <n v="3"/>
    <n v="3"/>
    <n v="80"/>
    <x v="0"/>
    <n v="9"/>
    <x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s v="No"/>
    <n v="20"/>
    <n v="4"/>
    <n v="1"/>
    <n v="80"/>
    <x v="0"/>
    <n v="18"/>
    <x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s v="No"/>
    <n v="12"/>
    <n v="3"/>
    <n v="1"/>
    <n v="80"/>
    <x v="1"/>
    <n v="3"/>
    <x v="5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s v="No"/>
    <n v="17"/>
    <n v="3"/>
    <n v="1"/>
    <n v="80"/>
    <x v="0"/>
    <n v="6"/>
    <x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s v="No"/>
    <n v="11"/>
    <n v="3"/>
    <n v="4"/>
    <n v="80"/>
    <x v="1"/>
    <n v="5"/>
    <x v="1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s v="No"/>
    <n v="17"/>
    <n v="3"/>
    <n v="2"/>
    <n v="80"/>
    <x v="1"/>
    <n v="22"/>
    <x v="1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s v="No"/>
    <n v="11"/>
    <n v="3"/>
    <n v="4"/>
    <n v="80"/>
    <x v="0"/>
    <n v="5"/>
    <x v="1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s v="No"/>
    <n v="14"/>
    <n v="3"/>
    <n v="4"/>
    <n v="80"/>
    <x v="3"/>
    <n v="8"/>
    <x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s v="No"/>
    <n v="19"/>
    <n v="3"/>
    <n v="1"/>
    <n v="80"/>
    <x v="0"/>
    <n v="16"/>
    <x v="1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s v="Yes"/>
    <n v="15"/>
    <n v="3"/>
    <n v="3"/>
    <n v="80"/>
    <x v="1"/>
    <n v="10"/>
    <x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s v="No"/>
    <n v="13"/>
    <n v="3"/>
    <n v="4"/>
    <n v="80"/>
    <x v="1"/>
    <n v="7"/>
    <x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s v="Yes"/>
    <n v="14"/>
    <n v="3"/>
    <n v="4"/>
    <n v="80"/>
    <x v="1"/>
    <n v="3"/>
    <x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s v="No"/>
    <n v="12"/>
    <n v="3"/>
    <n v="4"/>
    <n v="80"/>
    <x v="0"/>
    <n v="0"/>
    <x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s v="Yes"/>
    <n v="17"/>
    <n v="3"/>
    <n v="1"/>
    <n v="80"/>
    <x v="0"/>
    <n v="6"/>
    <x v="1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s v="Yes"/>
    <n v="11"/>
    <n v="3"/>
    <n v="1"/>
    <n v="80"/>
    <x v="1"/>
    <n v="6"/>
    <x v="5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s v="No"/>
    <n v="12"/>
    <n v="3"/>
    <n v="3"/>
    <n v="80"/>
    <x v="1"/>
    <n v="2"/>
    <x v="3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s v="No"/>
    <n v="13"/>
    <n v="3"/>
    <n v="3"/>
    <n v="80"/>
    <x v="3"/>
    <n v="9"/>
    <x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s v="No"/>
    <n v="13"/>
    <n v="3"/>
    <n v="3"/>
    <n v="80"/>
    <x v="1"/>
    <n v="4"/>
    <x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s v="No"/>
    <n v="20"/>
    <n v="4"/>
    <n v="1"/>
    <n v="80"/>
    <x v="0"/>
    <n v="6"/>
    <x v="1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s v="No"/>
    <n v="17"/>
    <n v="3"/>
    <n v="2"/>
    <n v="80"/>
    <x v="0"/>
    <n v="6"/>
    <x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s v="No"/>
    <n v="13"/>
    <n v="3"/>
    <n v="1"/>
    <n v="80"/>
    <x v="1"/>
    <n v="11"/>
    <x v="1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s v="No"/>
    <n v="17"/>
    <n v="3"/>
    <n v="3"/>
    <n v="80"/>
    <x v="0"/>
    <n v="20"/>
    <x v="1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s v="Yes"/>
    <n v="12"/>
    <n v="3"/>
    <n v="2"/>
    <n v="80"/>
    <x v="0"/>
    <n v="22"/>
    <x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s v="No"/>
    <n v="13"/>
    <n v="3"/>
    <n v="4"/>
    <n v="80"/>
    <x v="0"/>
    <n v="9"/>
    <x v="1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s v="No"/>
    <n v="12"/>
    <n v="3"/>
    <n v="2"/>
    <n v="80"/>
    <x v="1"/>
    <n v="10"/>
    <x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s v="No"/>
    <n v="22"/>
    <n v="4"/>
    <n v="4"/>
    <n v="80"/>
    <x v="0"/>
    <n v="6"/>
    <x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s v="Yes"/>
    <n v="11"/>
    <n v="3"/>
    <n v="4"/>
    <n v="80"/>
    <x v="0"/>
    <n v="1"/>
    <x v="5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s v="No"/>
    <n v="22"/>
    <n v="4"/>
    <n v="2"/>
    <n v="80"/>
    <x v="1"/>
    <n v="8"/>
    <x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s v="No"/>
    <n v="18"/>
    <n v="3"/>
    <n v="1"/>
    <n v="80"/>
    <x v="1"/>
    <n v="10"/>
    <x v="1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s v="Yes"/>
    <n v="13"/>
    <n v="3"/>
    <n v="4"/>
    <n v="80"/>
    <x v="1"/>
    <n v="16"/>
    <x v="1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s v="No"/>
    <n v="18"/>
    <n v="3"/>
    <n v="2"/>
    <n v="80"/>
    <x v="1"/>
    <n v="15"/>
    <x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s v="No"/>
    <n v="20"/>
    <n v="4"/>
    <n v="3"/>
    <n v="80"/>
    <x v="0"/>
    <n v="14"/>
    <x v="1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s v="No"/>
    <n v="13"/>
    <n v="3"/>
    <n v="2"/>
    <n v="80"/>
    <x v="1"/>
    <n v="2"/>
    <x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s v="No"/>
    <n v="13"/>
    <n v="3"/>
    <n v="2"/>
    <n v="80"/>
    <x v="0"/>
    <n v="7"/>
    <x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s v="No"/>
    <n v="12"/>
    <n v="3"/>
    <n v="3"/>
    <n v="80"/>
    <x v="2"/>
    <n v="1"/>
    <x v="1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s v="No"/>
    <n v="13"/>
    <n v="3"/>
    <n v="4"/>
    <n v="80"/>
    <x v="1"/>
    <n v="28"/>
    <x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s v="No"/>
    <n v="13"/>
    <n v="3"/>
    <n v="1"/>
    <n v="80"/>
    <x v="1"/>
    <n v="10"/>
    <x v="3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s v="No"/>
    <n v="25"/>
    <n v="4"/>
    <n v="3"/>
    <n v="80"/>
    <x v="0"/>
    <n v="1"/>
    <x v="5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s v="Yes"/>
    <n v="19"/>
    <n v="3"/>
    <n v="3"/>
    <n v="80"/>
    <x v="1"/>
    <n v="7"/>
    <x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s v="No"/>
    <n v="13"/>
    <n v="3"/>
    <n v="2"/>
    <n v="80"/>
    <x v="1"/>
    <n v="14"/>
    <x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s v="No"/>
    <n v="12"/>
    <n v="3"/>
    <n v="1"/>
    <n v="80"/>
    <x v="0"/>
    <n v="2"/>
    <x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s v="Yes"/>
    <n v="11"/>
    <n v="3"/>
    <n v="3"/>
    <n v="80"/>
    <x v="0"/>
    <n v="6"/>
    <x v="5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s v="No"/>
    <n v="18"/>
    <n v="3"/>
    <n v="2"/>
    <n v="80"/>
    <x v="1"/>
    <n v="26"/>
    <x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s v="Yes"/>
    <n v="18"/>
    <n v="3"/>
    <n v="1"/>
    <n v="80"/>
    <x v="1"/>
    <n v="6"/>
    <x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s v="Yes"/>
    <n v="11"/>
    <n v="3"/>
    <n v="2"/>
    <n v="80"/>
    <x v="1"/>
    <n v="1"/>
    <x v="3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s v="No"/>
    <n v="23"/>
    <n v="4"/>
    <n v="1"/>
    <n v="80"/>
    <x v="0"/>
    <n v="28"/>
    <x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s v="No"/>
    <n v="13"/>
    <n v="3"/>
    <n v="4"/>
    <n v="80"/>
    <x v="0"/>
    <n v="6"/>
    <x v="1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s v="No"/>
    <n v="13"/>
    <n v="3"/>
    <n v="4"/>
    <n v="80"/>
    <x v="1"/>
    <n v="5"/>
    <x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s v="No"/>
    <n v="17"/>
    <n v="3"/>
    <n v="1"/>
    <n v="80"/>
    <x v="1"/>
    <n v="5"/>
    <x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s v="No"/>
    <n v="19"/>
    <n v="3"/>
    <n v="3"/>
    <n v="80"/>
    <x v="2"/>
    <n v="8"/>
    <x v="1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s v="No"/>
    <n v="12"/>
    <n v="3"/>
    <n v="4"/>
    <n v="80"/>
    <x v="2"/>
    <n v="5"/>
    <x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s v="No"/>
    <n v="22"/>
    <n v="4"/>
    <n v="3"/>
    <n v="80"/>
    <x v="1"/>
    <n v="32"/>
    <x v="1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s v="No"/>
    <n v="12"/>
    <n v="3"/>
    <n v="3"/>
    <n v="80"/>
    <x v="2"/>
    <n v="6"/>
    <x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s v="No"/>
    <n v="11"/>
    <n v="3"/>
    <n v="1"/>
    <n v="80"/>
    <x v="1"/>
    <n v="25"/>
    <x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s v="Yes"/>
    <n v="15"/>
    <n v="3"/>
    <n v="4"/>
    <n v="80"/>
    <x v="2"/>
    <n v="15"/>
    <x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s v="No"/>
    <n v="13"/>
    <n v="3"/>
    <n v="1"/>
    <n v="80"/>
    <x v="1"/>
    <n v="1"/>
    <x v="1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s v="No"/>
    <n v="12"/>
    <n v="3"/>
    <n v="1"/>
    <n v="80"/>
    <x v="1"/>
    <n v="10"/>
    <x v="1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s v="No"/>
    <n v="14"/>
    <n v="3"/>
    <n v="3"/>
    <n v="80"/>
    <x v="1"/>
    <n v="7"/>
    <x v="5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s v="No"/>
    <n v="13"/>
    <n v="3"/>
    <n v="1"/>
    <n v="80"/>
    <x v="2"/>
    <n v="10"/>
    <x v="5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s v="No"/>
    <n v="25"/>
    <n v="4"/>
    <n v="2"/>
    <n v="80"/>
    <x v="0"/>
    <n v="20"/>
    <x v="1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s v="No"/>
    <n v="17"/>
    <n v="3"/>
    <n v="4"/>
    <n v="80"/>
    <x v="0"/>
    <n v="2"/>
    <x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s v="No"/>
    <n v="11"/>
    <n v="3"/>
    <n v="3"/>
    <n v="80"/>
    <x v="1"/>
    <n v="12"/>
    <x v="1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s v="No"/>
    <n v="16"/>
    <n v="3"/>
    <n v="1"/>
    <n v="80"/>
    <x v="1"/>
    <n v="10"/>
    <x v="1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s v="Yes"/>
    <n v="18"/>
    <n v="3"/>
    <n v="2"/>
    <n v="80"/>
    <x v="1"/>
    <n v="12"/>
    <x v="1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s v="No"/>
    <n v="20"/>
    <n v="4"/>
    <n v="3"/>
    <n v="80"/>
    <x v="1"/>
    <n v="2"/>
    <x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s v="Yes"/>
    <n v="14"/>
    <n v="3"/>
    <n v="4"/>
    <n v="80"/>
    <x v="0"/>
    <n v="10"/>
    <x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s v="Yes"/>
    <n v="21"/>
    <n v="4"/>
    <n v="3"/>
    <n v="80"/>
    <x v="1"/>
    <n v="17"/>
    <x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s v="No"/>
    <n v="13"/>
    <n v="3"/>
    <n v="2"/>
    <n v="80"/>
    <x v="1"/>
    <n v="15"/>
    <x v="3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s v="No"/>
    <n v="12"/>
    <n v="3"/>
    <n v="2"/>
    <n v="80"/>
    <x v="1"/>
    <n v="7"/>
    <x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s v="No"/>
    <n v="14"/>
    <n v="3"/>
    <n v="2"/>
    <n v="80"/>
    <x v="0"/>
    <n v="5"/>
    <x v="5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s v="Yes"/>
    <n v="21"/>
    <n v="4"/>
    <n v="1"/>
    <n v="80"/>
    <x v="1"/>
    <n v="12"/>
    <x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s v="Yes"/>
    <n v="17"/>
    <n v="3"/>
    <n v="3"/>
    <n v="80"/>
    <x v="0"/>
    <n v="20"/>
    <x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s v="Yes"/>
    <n v="11"/>
    <n v="3"/>
    <n v="2"/>
    <n v="80"/>
    <x v="1"/>
    <n v="16"/>
    <x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s v="Yes"/>
    <n v="14"/>
    <n v="3"/>
    <n v="4"/>
    <n v="80"/>
    <x v="3"/>
    <n v="9"/>
    <x v="1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s v="No"/>
    <n v="17"/>
    <n v="3"/>
    <n v="1"/>
    <n v="80"/>
    <x v="1"/>
    <n v="33"/>
    <x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s v="No"/>
    <n v="13"/>
    <n v="3"/>
    <n v="4"/>
    <n v="80"/>
    <x v="1"/>
    <n v="10"/>
    <x v="3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s v="Yes"/>
    <n v="25"/>
    <n v="4"/>
    <n v="2"/>
    <n v="80"/>
    <x v="0"/>
    <n v="1"/>
    <x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s v="No"/>
    <n v="15"/>
    <n v="3"/>
    <n v="1"/>
    <n v="80"/>
    <x v="2"/>
    <n v="3"/>
    <x v="3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s v="No"/>
    <n v="14"/>
    <n v="3"/>
    <n v="1"/>
    <n v="80"/>
    <x v="0"/>
    <n v="36"/>
    <x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s v="Yes"/>
    <n v="12"/>
    <n v="3"/>
    <n v="4"/>
    <n v="80"/>
    <x v="0"/>
    <n v="6"/>
    <x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s v="No"/>
    <n v="19"/>
    <n v="3"/>
    <n v="2"/>
    <n v="80"/>
    <x v="0"/>
    <n v="10"/>
    <x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s v="No"/>
    <n v="17"/>
    <n v="3"/>
    <n v="4"/>
    <n v="80"/>
    <x v="0"/>
    <n v="13"/>
    <x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s v="No"/>
    <n v="14"/>
    <n v="3"/>
    <n v="2"/>
    <n v="80"/>
    <x v="1"/>
    <n v="25"/>
    <x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s v="No"/>
    <n v="13"/>
    <n v="3"/>
    <n v="3"/>
    <n v="80"/>
    <x v="1"/>
    <n v="23"/>
    <x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s v="No"/>
    <n v="12"/>
    <n v="3"/>
    <n v="3"/>
    <n v="80"/>
    <x v="0"/>
    <n v="12"/>
    <x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s v="No"/>
    <n v="11"/>
    <n v="3"/>
    <n v="3"/>
    <n v="80"/>
    <x v="0"/>
    <n v="7"/>
    <x v="5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s v="No"/>
    <n v="11"/>
    <n v="3"/>
    <n v="2"/>
    <n v="80"/>
    <x v="2"/>
    <n v="5"/>
    <x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s v="Yes"/>
    <n v="11"/>
    <n v="3"/>
    <n v="2"/>
    <n v="80"/>
    <x v="3"/>
    <n v="6"/>
    <x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s v="No"/>
    <n v="12"/>
    <n v="3"/>
    <n v="3"/>
    <n v="80"/>
    <x v="0"/>
    <n v="25"/>
    <x v="1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s v="No"/>
    <n v="14"/>
    <n v="3"/>
    <n v="2"/>
    <n v="80"/>
    <x v="3"/>
    <n v="9"/>
    <x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s v="No"/>
    <n v="17"/>
    <n v="3"/>
    <n v="4"/>
    <n v="80"/>
    <x v="0"/>
    <n v="2"/>
    <x v="3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s v="No"/>
    <n v="11"/>
    <n v="3"/>
    <n v="3"/>
    <n v="80"/>
    <x v="1"/>
    <n v="26"/>
    <x v="3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s v="Yes"/>
    <n v="14"/>
    <n v="3"/>
    <n v="4"/>
    <n v="80"/>
    <x v="3"/>
    <n v="10"/>
    <x v="1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s v="Yes"/>
    <n v="12"/>
    <n v="3"/>
    <n v="4"/>
    <n v="80"/>
    <x v="0"/>
    <n v="1"/>
    <x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s v="No"/>
    <n v="22"/>
    <n v="4"/>
    <n v="4"/>
    <n v="80"/>
    <x v="1"/>
    <n v="1"/>
    <x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s v="Yes"/>
    <n v="14"/>
    <n v="3"/>
    <n v="4"/>
    <n v="80"/>
    <x v="0"/>
    <n v="1"/>
    <x v="5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s v="Yes"/>
    <n v="20"/>
    <n v="4"/>
    <n v="2"/>
    <n v="80"/>
    <x v="0"/>
    <n v="8"/>
    <x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s v="Yes"/>
    <n v="16"/>
    <n v="3"/>
    <n v="1"/>
    <n v="80"/>
    <x v="0"/>
    <n v="26"/>
    <x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s v="Yes"/>
    <n v="15"/>
    <n v="3"/>
    <n v="4"/>
    <n v="80"/>
    <x v="1"/>
    <n v="34"/>
    <x v="1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s v="No"/>
    <n v="20"/>
    <n v="4"/>
    <n v="3"/>
    <n v="80"/>
    <x v="0"/>
    <n v="2"/>
    <x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s v="No"/>
    <n v="14"/>
    <n v="3"/>
    <n v="3"/>
    <n v="80"/>
    <x v="1"/>
    <n v="26"/>
    <x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s v="Yes"/>
    <n v="12"/>
    <n v="3"/>
    <n v="4"/>
    <n v="80"/>
    <x v="0"/>
    <n v="4"/>
    <x v="1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s v="Yes"/>
    <n v="24"/>
    <n v="4"/>
    <n v="1"/>
    <n v="80"/>
    <x v="1"/>
    <n v="31"/>
    <x v="3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s v="No"/>
    <n v="12"/>
    <n v="3"/>
    <n v="4"/>
    <n v="80"/>
    <x v="0"/>
    <n v="25"/>
    <x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s v="No"/>
    <n v="13"/>
    <n v="3"/>
    <n v="3"/>
    <n v="80"/>
    <x v="3"/>
    <n v="15"/>
    <x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s v="Yes"/>
    <n v="11"/>
    <n v="3"/>
    <n v="3"/>
    <n v="80"/>
    <x v="0"/>
    <n v="5"/>
    <x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s v="No"/>
    <n v="14"/>
    <n v="3"/>
    <n v="4"/>
    <n v="80"/>
    <x v="3"/>
    <n v="26"/>
    <x v="5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s v="No"/>
    <n v="11"/>
    <n v="3"/>
    <n v="4"/>
    <n v="80"/>
    <x v="3"/>
    <n v="14"/>
    <x v="3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s v="Yes"/>
    <n v="14"/>
    <n v="3"/>
    <n v="4"/>
    <n v="80"/>
    <x v="0"/>
    <n v="4"/>
    <x v="1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s v="Yes"/>
    <n v="16"/>
    <n v="3"/>
    <n v="4"/>
    <n v="80"/>
    <x v="0"/>
    <n v="18"/>
    <x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s v="No"/>
    <n v="14"/>
    <n v="3"/>
    <n v="4"/>
    <n v="80"/>
    <x v="0"/>
    <n v="23"/>
    <x v="1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s v="Yes"/>
    <n v="11"/>
    <n v="3"/>
    <n v="4"/>
    <n v="80"/>
    <x v="0"/>
    <n v="18"/>
    <x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s v="No"/>
    <n v="11"/>
    <n v="3"/>
    <n v="4"/>
    <n v="80"/>
    <x v="1"/>
    <n v="10"/>
    <x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s v="Yes"/>
    <n v="12"/>
    <n v="3"/>
    <n v="2"/>
    <n v="80"/>
    <x v="1"/>
    <n v="2"/>
    <x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s v="No"/>
    <n v="14"/>
    <n v="3"/>
    <n v="2"/>
    <n v="80"/>
    <x v="0"/>
    <n v="8"/>
    <x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s v="Yes"/>
    <n v="18"/>
    <n v="3"/>
    <n v="3"/>
    <n v="80"/>
    <x v="0"/>
    <n v="10"/>
    <x v="1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s v="Yes"/>
    <n v="13"/>
    <n v="3"/>
    <n v="1"/>
    <n v="80"/>
    <x v="3"/>
    <n v="10"/>
    <x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s v="No"/>
    <n v="11"/>
    <n v="3"/>
    <n v="2"/>
    <n v="80"/>
    <x v="0"/>
    <n v="5"/>
    <x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s v="No"/>
    <n v="18"/>
    <n v="3"/>
    <n v="4"/>
    <n v="80"/>
    <x v="0"/>
    <n v="2"/>
    <x v="1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s v="No"/>
    <n v="15"/>
    <n v="3"/>
    <n v="3"/>
    <n v="80"/>
    <x v="3"/>
    <n v="10"/>
    <x v="5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s v="No"/>
    <n v="22"/>
    <n v="4"/>
    <n v="3"/>
    <n v="80"/>
    <x v="0"/>
    <n v="22"/>
    <x v="5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s v="Yes"/>
    <n v="13"/>
    <n v="3"/>
    <n v="4"/>
    <n v="80"/>
    <x v="3"/>
    <n v="21"/>
    <x v="5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s v="No"/>
    <n v="12"/>
    <n v="3"/>
    <n v="4"/>
    <n v="80"/>
    <x v="3"/>
    <n v="2"/>
    <x v="1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s v="No"/>
    <n v="18"/>
    <n v="3"/>
    <n v="1"/>
    <n v="80"/>
    <x v="1"/>
    <n v="10"/>
    <x v="1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s v="No"/>
    <n v="13"/>
    <n v="3"/>
    <n v="1"/>
    <n v="80"/>
    <x v="0"/>
    <n v="6"/>
    <x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s v="No"/>
    <n v="12"/>
    <n v="3"/>
    <n v="1"/>
    <n v="80"/>
    <x v="1"/>
    <n v="10"/>
    <x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s v="No"/>
    <n v="12"/>
    <n v="3"/>
    <n v="1"/>
    <n v="80"/>
    <x v="0"/>
    <n v="10"/>
    <x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s v="No"/>
    <n v="12"/>
    <n v="3"/>
    <n v="3"/>
    <n v="80"/>
    <x v="0"/>
    <n v="10"/>
    <x v="1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s v="No"/>
    <n v="11"/>
    <n v="3"/>
    <n v="1"/>
    <n v="80"/>
    <x v="2"/>
    <n v="10"/>
    <x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s v="Yes"/>
    <n v="11"/>
    <n v="3"/>
    <n v="2"/>
    <n v="80"/>
    <x v="0"/>
    <n v="25"/>
    <x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s v="Yes"/>
    <n v="12"/>
    <n v="3"/>
    <n v="3"/>
    <n v="80"/>
    <x v="0"/>
    <n v="9"/>
    <x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s v="Yes"/>
    <n v="19"/>
    <n v="3"/>
    <n v="3"/>
    <n v="80"/>
    <x v="0"/>
    <n v="10"/>
    <x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s v="Yes"/>
    <n v="23"/>
    <n v="4"/>
    <n v="4"/>
    <n v="80"/>
    <x v="3"/>
    <n v="9"/>
    <x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s v="No"/>
    <n v="11"/>
    <n v="3"/>
    <n v="1"/>
    <n v="80"/>
    <x v="0"/>
    <n v="9"/>
    <x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s v="Yes"/>
    <n v="19"/>
    <n v="3"/>
    <n v="1"/>
    <n v="80"/>
    <x v="1"/>
    <n v="10"/>
    <x v="3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s v="No"/>
    <n v="13"/>
    <n v="3"/>
    <n v="1"/>
    <n v="80"/>
    <x v="0"/>
    <n v="19"/>
    <x v="5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s v="Yes"/>
    <n v="11"/>
    <n v="3"/>
    <n v="1"/>
    <n v="80"/>
    <x v="0"/>
    <n v="3"/>
    <x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s v="No"/>
    <n v="12"/>
    <n v="3"/>
    <n v="3"/>
    <n v="80"/>
    <x v="0"/>
    <n v="10"/>
    <x v="5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s v="Yes"/>
    <n v="13"/>
    <n v="3"/>
    <n v="4"/>
    <n v="80"/>
    <x v="0"/>
    <n v="21"/>
    <x v="1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s v="No"/>
    <n v="14"/>
    <n v="3"/>
    <n v="4"/>
    <n v="80"/>
    <x v="1"/>
    <n v="23"/>
    <x v="3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s v="No"/>
    <n v="14"/>
    <n v="3"/>
    <n v="1"/>
    <n v="80"/>
    <x v="0"/>
    <n v="36"/>
    <x v="5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s v="No"/>
    <n v="16"/>
    <n v="3"/>
    <n v="2"/>
    <n v="80"/>
    <x v="1"/>
    <n v="6"/>
    <x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s v="No"/>
    <n v="11"/>
    <n v="3"/>
    <n v="4"/>
    <n v="80"/>
    <x v="1"/>
    <n v="10"/>
    <x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s v="No"/>
    <n v="13"/>
    <n v="3"/>
    <n v="3"/>
    <n v="80"/>
    <x v="0"/>
    <n v="9"/>
    <x v="5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s v="No"/>
    <n v="17"/>
    <n v="3"/>
    <n v="4"/>
    <n v="80"/>
    <x v="1"/>
    <n v="10"/>
    <x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s v="Yes"/>
    <n v="11"/>
    <n v="3"/>
    <n v="2"/>
    <n v="80"/>
    <x v="0"/>
    <n v="9"/>
    <x v="1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s v="Yes"/>
    <n v="11"/>
    <n v="3"/>
    <n v="2"/>
    <n v="80"/>
    <x v="1"/>
    <n v="33"/>
    <x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s v="No"/>
    <n v="15"/>
    <n v="3"/>
    <n v="4"/>
    <n v="80"/>
    <x v="1"/>
    <n v="11"/>
    <x v="1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s v="No"/>
    <n v="12"/>
    <n v="3"/>
    <n v="4"/>
    <n v="80"/>
    <x v="0"/>
    <n v="10"/>
    <x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s v="No"/>
    <n v="11"/>
    <n v="3"/>
    <n v="3"/>
    <n v="80"/>
    <x v="2"/>
    <n v="7"/>
    <x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s v="Yes"/>
    <n v="14"/>
    <n v="3"/>
    <n v="4"/>
    <n v="80"/>
    <x v="0"/>
    <n v="31"/>
    <x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s v="No"/>
    <n v="22"/>
    <n v="4"/>
    <n v="3"/>
    <n v="80"/>
    <x v="1"/>
    <n v="7"/>
    <x v="1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s v="No"/>
    <n v="16"/>
    <n v="3"/>
    <n v="4"/>
    <n v="80"/>
    <x v="1"/>
    <n v="17"/>
    <x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s v="No"/>
    <n v="11"/>
    <n v="3"/>
    <n v="3"/>
    <n v="80"/>
    <x v="0"/>
    <n v="11"/>
    <x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s v="No"/>
    <n v="14"/>
    <n v="3"/>
    <n v="2"/>
    <n v="80"/>
    <x v="1"/>
    <n v="5"/>
    <x v="5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s v="No"/>
    <n v="16"/>
    <n v="3"/>
    <n v="2"/>
    <n v="80"/>
    <x v="0"/>
    <n v="29"/>
    <x v="4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s v="No"/>
    <n v="15"/>
    <n v="3"/>
    <n v="3"/>
    <n v="80"/>
    <x v="0"/>
    <n v="0"/>
    <x v="3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s v="No"/>
    <n v="12"/>
    <n v="3"/>
    <n v="2"/>
    <n v="80"/>
    <x v="1"/>
    <n v="10"/>
    <x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s v="No"/>
    <n v="20"/>
    <n v="4"/>
    <n v="2"/>
    <n v="80"/>
    <x v="0"/>
    <n v="8"/>
    <x v="1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s v="Yes"/>
    <n v="17"/>
    <n v="3"/>
    <n v="3"/>
    <n v="80"/>
    <x v="0"/>
    <n v="24"/>
    <x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s v="Yes"/>
    <n v="12"/>
    <n v="3"/>
    <n v="1"/>
    <n v="80"/>
    <x v="1"/>
    <n v="33"/>
    <x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s v="No"/>
    <n v="20"/>
    <n v="4"/>
    <n v="3"/>
    <n v="80"/>
    <x v="2"/>
    <n v="5"/>
    <x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s v="No"/>
    <n v="20"/>
    <n v="4"/>
    <n v="2"/>
    <n v="80"/>
    <x v="2"/>
    <n v="15"/>
    <x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s v="No"/>
    <n v="13"/>
    <n v="3"/>
    <n v="1"/>
    <n v="80"/>
    <x v="3"/>
    <n v="10"/>
    <x v="4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s v="No"/>
    <n v="14"/>
    <n v="3"/>
    <n v="3"/>
    <n v="80"/>
    <x v="0"/>
    <n v="3"/>
    <x v="1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s v="Yes"/>
    <n v="18"/>
    <n v="3"/>
    <n v="3"/>
    <n v="80"/>
    <x v="1"/>
    <n v="5"/>
    <x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s v="No"/>
    <n v="11"/>
    <n v="3"/>
    <n v="4"/>
    <n v="80"/>
    <x v="2"/>
    <n v="4"/>
    <x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s v="No"/>
    <n v="11"/>
    <n v="3"/>
    <n v="4"/>
    <n v="80"/>
    <x v="0"/>
    <n v="14"/>
    <x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s v="No"/>
    <n v="11"/>
    <n v="3"/>
    <n v="3"/>
    <n v="80"/>
    <x v="1"/>
    <n v="5"/>
    <x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s v="Yes"/>
    <n v="15"/>
    <n v="3"/>
    <n v="4"/>
    <n v="80"/>
    <x v="3"/>
    <n v="10"/>
    <x v="1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s v="Yes"/>
    <n v="12"/>
    <n v="3"/>
    <n v="4"/>
    <n v="80"/>
    <x v="3"/>
    <n v="8"/>
    <x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s v="No"/>
    <n v="11"/>
    <n v="3"/>
    <n v="2"/>
    <n v="80"/>
    <x v="0"/>
    <n v="14"/>
    <x v="3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s v="Yes"/>
    <n v="14"/>
    <n v="3"/>
    <n v="1"/>
    <n v="80"/>
    <x v="3"/>
    <n v="12"/>
    <x v="5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s v="Yes"/>
    <n v="15"/>
    <n v="3"/>
    <n v="4"/>
    <n v="80"/>
    <x v="0"/>
    <n v="8"/>
    <x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s v="No"/>
    <n v="13"/>
    <n v="3"/>
    <n v="1"/>
    <n v="80"/>
    <x v="0"/>
    <n v="8"/>
    <x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s v="Yes"/>
    <n v="13"/>
    <n v="3"/>
    <n v="1"/>
    <n v="80"/>
    <x v="2"/>
    <n v="4"/>
    <x v="1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s v="No"/>
    <n v="21"/>
    <n v="4"/>
    <n v="2"/>
    <n v="80"/>
    <x v="1"/>
    <n v="13"/>
    <x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s v="No"/>
    <n v="11"/>
    <n v="3"/>
    <n v="2"/>
    <n v="80"/>
    <x v="0"/>
    <n v="6"/>
    <x v="1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s v="Yes"/>
    <n v="11"/>
    <n v="3"/>
    <n v="2"/>
    <n v="80"/>
    <x v="1"/>
    <n v="24"/>
    <x v="1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s v="Yes"/>
    <n v="14"/>
    <n v="3"/>
    <n v="1"/>
    <n v="80"/>
    <x v="0"/>
    <n v="20"/>
    <x v="1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s v="Yes"/>
    <n v="11"/>
    <n v="3"/>
    <n v="4"/>
    <n v="80"/>
    <x v="0"/>
    <n v="6"/>
    <x v="1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s v="Yes"/>
    <n v="13"/>
    <n v="3"/>
    <n v="4"/>
    <n v="80"/>
    <x v="0"/>
    <n v="8"/>
    <x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s v="No"/>
    <n v="12"/>
    <n v="3"/>
    <n v="4"/>
    <n v="80"/>
    <x v="0"/>
    <n v="5"/>
    <x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s v="No"/>
    <n v="14"/>
    <n v="3"/>
    <n v="3"/>
    <n v="80"/>
    <x v="1"/>
    <n v="21"/>
    <x v="3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s v="No"/>
    <n v="13"/>
    <n v="3"/>
    <n v="3"/>
    <n v="80"/>
    <x v="0"/>
    <n v="12"/>
    <x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s v="No"/>
    <n v="18"/>
    <n v="3"/>
    <n v="1"/>
    <n v="80"/>
    <x v="0"/>
    <n v="8"/>
    <x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s v="No"/>
    <n v="11"/>
    <n v="3"/>
    <n v="3"/>
    <n v="80"/>
    <x v="0"/>
    <n v="10"/>
    <x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s v="No"/>
    <n v="11"/>
    <n v="3"/>
    <n v="2"/>
    <n v="80"/>
    <x v="1"/>
    <n v="7"/>
    <x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s v="No"/>
    <n v="12"/>
    <n v="3"/>
    <n v="4"/>
    <n v="80"/>
    <x v="0"/>
    <n v="8"/>
    <x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s v="No"/>
    <n v="13"/>
    <n v="3"/>
    <n v="1"/>
    <n v="80"/>
    <x v="0"/>
    <n v="10"/>
    <x v="1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s v="No"/>
    <n v="20"/>
    <n v="4"/>
    <n v="1"/>
    <n v="80"/>
    <x v="0"/>
    <n v="20"/>
    <x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s v="Yes"/>
    <n v="12"/>
    <n v="3"/>
    <n v="1"/>
    <n v="80"/>
    <x v="0"/>
    <n v="9"/>
    <x v="4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s v="No"/>
    <n v="19"/>
    <n v="3"/>
    <n v="4"/>
    <n v="80"/>
    <x v="0"/>
    <n v="29"/>
    <x v="1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s v="Yes"/>
    <n v="21"/>
    <n v="4"/>
    <n v="3"/>
    <n v="80"/>
    <x v="1"/>
    <n v="32"/>
    <x v="1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s v="No"/>
    <n v="13"/>
    <n v="3"/>
    <n v="4"/>
    <n v="80"/>
    <x v="3"/>
    <n v="31"/>
    <x v="5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s v="Yes"/>
    <n v="16"/>
    <n v="3"/>
    <n v="4"/>
    <n v="80"/>
    <x v="0"/>
    <n v="15"/>
    <x v="1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s v="No"/>
    <n v="12"/>
    <n v="3"/>
    <n v="2"/>
    <n v="80"/>
    <x v="0"/>
    <n v="1"/>
    <x v="1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s v="No"/>
    <n v="14"/>
    <n v="3"/>
    <n v="2"/>
    <n v="80"/>
    <x v="3"/>
    <n v="8"/>
    <x v="1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s v="No"/>
    <n v="11"/>
    <n v="3"/>
    <n v="3"/>
    <n v="80"/>
    <x v="0"/>
    <n v="9"/>
    <x v="1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s v="No"/>
    <n v="14"/>
    <n v="3"/>
    <n v="3"/>
    <n v="80"/>
    <x v="3"/>
    <n v="10"/>
    <x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s v="No"/>
    <n v="12"/>
    <n v="3"/>
    <n v="3"/>
    <n v="80"/>
    <x v="0"/>
    <n v="1"/>
    <x v="1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s v="No"/>
    <n v="14"/>
    <n v="3"/>
    <n v="2"/>
    <n v="80"/>
    <x v="0"/>
    <n v="6"/>
    <x v="1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s v="No"/>
    <n v="16"/>
    <n v="3"/>
    <n v="3"/>
    <n v="80"/>
    <x v="0"/>
    <n v="10"/>
    <x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s v="No"/>
    <n v="13"/>
    <n v="3"/>
    <n v="1"/>
    <n v="80"/>
    <x v="3"/>
    <n v="11"/>
    <x v="1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s v="No"/>
    <n v="12"/>
    <n v="3"/>
    <n v="3"/>
    <n v="80"/>
    <x v="1"/>
    <n v="17"/>
    <x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s v="No"/>
    <n v="12"/>
    <n v="3"/>
    <n v="1"/>
    <n v="80"/>
    <x v="0"/>
    <n v="6"/>
    <x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s v="No"/>
    <n v="14"/>
    <n v="3"/>
    <n v="1"/>
    <n v="80"/>
    <x v="0"/>
    <n v="7"/>
    <x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s v="No"/>
    <n v="22"/>
    <n v="4"/>
    <n v="4"/>
    <n v="80"/>
    <x v="1"/>
    <n v="5"/>
    <x v="1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s v="No"/>
    <n v="19"/>
    <n v="3"/>
    <n v="2"/>
    <n v="80"/>
    <x v="3"/>
    <n v="26"/>
    <x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s v="Yes"/>
    <n v="12"/>
    <n v="3"/>
    <n v="3"/>
    <n v="80"/>
    <x v="3"/>
    <n v="5"/>
    <x v="1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s v="No"/>
    <n v="12"/>
    <n v="3"/>
    <n v="3"/>
    <n v="80"/>
    <x v="1"/>
    <n v="7"/>
    <x v="1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s v="No"/>
    <n v="17"/>
    <n v="3"/>
    <n v="1"/>
    <n v="80"/>
    <x v="1"/>
    <n v="7"/>
    <x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s v="Yes"/>
    <n v="12"/>
    <n v="3"/>
    <n v="1"/>
    <n v="80"/>
    <x v="0"/>
    <n v="7"/>
    <x v="3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s v="No"/>
    <n v="11"/>
    <n v="3"/>
    <n v="3"/>
    <n v="80"/>
    <x v="3"/>
    <n v="11"/>
    <x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s v="No"/>
    <n v="18"/>
    <n v="3"/>
    <n v="1"/>
    <n v="80"/>
    <x v="1"/>
    <n v="13"/>
    <x v="3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s v="No"/>
    <n v="11"/>
    <n v="3"/>
    <n v="1"/>
    <n v="80"/>
    <x v="1"/>
    <n v="28"/>
    <x v="4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s v="Yes"/>
    <n v="23"/>
    <n v="4"/>
    <n v="2"/>
    <n v="80"/>
    <x v="0"/>
    <n v="11"/>
    <x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s v="No"/>
    <n v="11"/>
    <n v="3"/>
    <n v="1"/>
    <n v="80"/>
    <x v="0"/>
    <n v="10"/>
    <x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s v="Yes"/>
    <n v="18"/>
    <n v="3"/>
    <n v="2"/>
    <n v="80"/>
    <x v="1"/>
    <n v="24"/>
    <x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s v="No"/>
    <n v="18"/>
    <n v="3"/>
    <n v="4"/>
    <n v="80"/>
    <x v="0"/>
    <n v="8"/>
    <x v="1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s v="Yes"/>
    <n v="13"/>
    <n v="3"/>
    <n v="3"/>
    <n v="80"/>
    <x v="1"/>
    <n v="7"/>
    <x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s v="Yes"/>
    <n v="18"/>
    <n v="3"/>
    <n v="4"/>
    <n v="80"/>
    <x v="3"/>
    <n v="10"/>
    <x v="5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s v="No"/>
    <n v="11"/>
    <n v="3"/>
    <n v="1"/>
    <n v="80"/>
    <x v="2"/>
    <n v="15"/>
    <x v="1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s v="No"/>
    <n v="15"/>
    <n v="3"/>
    <n v="4"/>
    <n v="80"/>
    <x v="0"/>
    <n v="2"/>
    <x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s v="No"/>
    <n v="11"/>
    <n v="3"/>
    <n v="3"/>
    <n v="80"/>
    <x v="1"/>
    <n v="16"/>
    <x v="3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s v="No"/>
    <n v="18"/>
    <n v="3"/>
    <n v="4"/>
    <n v="80"/>
    <x v="0"/>
    <n v="6"/>
    <x v="5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s v="No"/>
    <n v="14"/>
    <n v="3"/>
    <n v="4"/>
    <n v="80"/>
    <x v="0"/>
    <n v="7"/>
    <x v="3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s v="No"/>
    <n v="12"/>
    <n v="3"/>
    <n v="2"/>
    <n v="80"/>
    <x v="0"/>
    <n v="35"/>
    <x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s v="No"/>
    <n v="14"/>
    <n v="3"/>
    <n v="2"/>
    <n v="80"/>
    <x v="1"/>
    <n v="20"/>
    <x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s v="No"/>
    <n v="14"/>
    <n v="3"/>
    <n v="3"/>
    <n v="80"/>
    <x v="1"/>
    <n v="8"/>
    <x v="1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s v="No"/>
    <n v="13"/>
    <n v="3"/>
    <n v="3"/>
    <n v="80"/>
    <x v="0"/>
    <n v="6"/>
    <x v="1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s v="No"/>
    <n v="14"/>
    <n v="3"/>
    <n v="1"/>
    <n v="80"/>
    <x v="3"/>
    <n v="5"/>
    <x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s v="No"/>
    <n v="18"/>
    <n v="3"/>
    <n v="4"/>
    <n v="80"/>
    <x v="0"/>
    <n v="15"/>
    <x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s v="No"/>
    <n v="15"/>
    <n v="3"/>
    <n v="3"/>
    <n v="80"/>
    <x v="3"/>
    <n v="4"/>
    <x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s v="No"/>
    <n v="13"/>
    <n v="3"/>
    <n v="3"/>
    <n v="80"/>
    <x v="0"/>
    <n v="12"/>
    <x v="1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s v="No"/>
    <n v="12"/>
    <n v="3"/>
    <n v="3"/>
    <n v="80"/>
    <x v="1"/>
    <n v="11"/>
    <x v="5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s v="No"/>
    <n v="13"/>
    <n v="3"/>
    <n v="2"/>
    <n v="80"/>
    <x v="3"/>
    <n v="1"/>
    <x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s v="No"/>
    <n v="24"/>
    <n v="4"/>
    <n v="1"/>
    <n v="80"/>
    <x v="1"/>
    <n v="13"/>
    <x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s v="No"/>
    <n v="14"/>
    <n v="3"/>
    <n v="2"/>
    <n v="80"/>
    <x v="3"/>
    <n v="29"/>
    <x v="1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s v="No"/>
    <n v="14"/>
    <n v="3"/>
    <n v="4"/>
    <n v="80"/>
    <x v="3"/>
    <n v="16"/>
    <x v="1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s v="No"/>
    <n v="15"/>
    <n v="3"/>
    <n v="4"/>
    <n v="80"/>
    <x v="1"/>
    <n v="5"/>
    <x v="1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s v="No"/>
    <n v="11"/>
    <n v="3"/>
    <n v="1"/>
    <n v="80"/>
    <x v="0"/>
    <n v="7"/>
    <x v="5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s v="Yes"/>
    <n v="23"/>
    <n v="4"/>
    <n v="3"/>
    <n v="80"/>
    <x v="0"/>
    <n v="16"/>
    <x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s v="No"/>
    <n v="13"/>
    <n v="3"/>
    <n v="1"/>
    <n v="80"/>
    <x v="1"/>
    <n v="1"/>
    <x v="1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s v="Yes"/>
    <n v="11"/>
    <n v="3"/>
    <n v="3"/>
    <n v="80"/>
    <x v="0"/>
    <n v="4"/>
    <x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s v="No"/>
    <n v="13"/>
    <n v="3"/>
    <n v="3"/>
    <n v="80"/>
    <x v="1"/>
    <n v="1"/>
    <x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s v="Yes"/>
    <n v="18"/>
    <n v="3"/>
    <n v="2"/>
    <n v="80"/>
    <x v="0"/>
    <n v="16"/>
    <x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s v="No"/>
    <n v="14"/>
    <n v="3"/>
    <n v="3"/>
    <n v="80"/>
    <x v="3"/>
    <n v="10"/>
    <x v="1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s v="No"/>
    <n v="21"/>
    <n v="4"/>
    <n v="1"/>
    <n v="80"/>
    <x v="1"/>
    <n v="6"/>
    <x v="1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s v="Yes"/>
    <n v="16"/>
    <n v="3"/>
    <n v="2"/>
    <n v="80"/>
    <x v="0"/>
    <n v="4"/>
    <x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s v="No"/>
    <n v="11"/>
    <n v="3"/>
    <n v="4"/>
    <n v="80"/>
    <x v="0"/>
    <n v="8"/>
    <x v="3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s v="Yes"/>
    <n v="17"/>
    <n v="3"/>
    <n v="3"/>
    <n v="80"/>
    <x v="1"/>
    <n v="11"/>
    <x v="5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s v="No"/>
    <n v="11"/>
    <n v="3"/>
    <n v="3"/>
    <n v="80"/>
    <x v="0"/>
    <n v="8"/>
    <x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s v="No"/>
    <n v="14"/>
    <n v="3"/>
    <n v="4"/>
    <n v="80"/>
    <x v="1"/>
    <n v="1"/>
    <x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s v="No"/>
    <n v="14"/>
    <n v="3"/>
    <n v="4"/>
    <n v="80"/>
    <x v="0"/>
    <n v="5"/>
    <x v="3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s v="No"/>
    <n v="25"/>
    <n v="4"/>
    <n v="1"/>
    <n v="80"/>
    <x v="1"/>
    <n v="10"/>
    <x v="1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s v="No"/>
    <n v="13"/>
    <n v="3"/>
    <n v="3"/>
    <n v="80"/>
    <x v="2"/>
    <n v="4"/>
    <x v="1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s v="No"/>
    <n v="14"/>
    <n v="3"/>
    <n v="2"/>
    <n v="80"/>
    <x v="3"/>
    <n v="8"/>
    <x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s v="Yes"/>
    <n v="17"/>
    <n v="3"/>
    <n v="1"/>
    <n v="80"/>
    <x v="0"/>
    <n v="14"/>
    <x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s v="No"/>
    <n v="25"/>
    <n v="4"/>
    <n v="2"/>
    <n v="80"/>
    <x v="0"/>
    <n v="10"/>
    <x v="3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s v="No"/>
    <n v="20"/>
    <n v="4"/>
    <n v="1"/>
    <n v="80"/>
    <x v="1"/>
    <n v="26"/>
    <x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s v="No"/>
    <n v="13"/>
    <n v="3"/>
    <n v="3"/>
    <n v="80"/>
    <x v="0"/>
    <n v="11"/>
    <x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s v="No"/>
    <n v="13"/>
    <n v="3"/>
    <n v="3"/>
    <n v="80"/>
    <x v="1"/>
    <n v="24"/>
    <x v="4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s v="No"/>
    <n v="18"/>
    <n v="3"/>
    <n v="4"/>
    <n v="80"/>
    <x v="0"/>
    <n v="9"/>
    <x v="1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s v="No"/>
    <n v="12"/>
    <n v="3"/>
    <n v="4"/>
    <n v="80"/>
    <x v="1"/>
    <n v="23"/>
    <x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s v="No"/>
    <n v="19"/>
    <n v="3"/>
    <n v="4"/>
    <n v="80"/>
    <x v="0"/>
    <n v="11"/>
    <x v="1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s v="No"/>
    <n v="14"/>
    <n v="3"/>
    <n v="2"/>
    <n v="80"/>
    <x v="0"/>
    <n v="5"/>
    <x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s v="No"/>
    <n v="14"/>
    <n v="3"/>
    <n v="2"/>
    <n v="80"/>
    <x v="0"/>
    <n v="15"/>
    <x v="1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s v="Yes"/>
    <n v="14"/>
    <n v="3"/>
    <n v="4"/>
    <n v="80"/>
    <x v="0"/>
    <n v="10"/>
    <x v="1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s v="No"/>
    <n v="12"/>
    <n v="3"/>
    <n v="1"/>
    <n v="80"/>
    <x v="0"/>
    <n v="7"/>
    <x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s v="Yes"/>
    <n v="13"/>
    <n v="3"/>
    <n v="4"/>
    <n v="80"/>
    <x v="0"/>
    <n v="32"/>
    <x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s v="Yes"/>
    <n v="25"/>
    <n v="4"/>
    <n v="2"/>
    <n v="80"/>
    <x v="1"/>
    <n v="12"/>
    <x v="5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s v="No"/>
    <n v="14"/>
    <n v="3"/>
    <n v="2"/>
    <n v="80"/>
    <x v="1"/>
    <n v="4"/>
    <x v="1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s v="No"/>
    <n v="17"/>
    <n v="3"/>
    <n v="1"/>
    <n v="80"/>
    <x v="0"/>
    <n v="10"/>
    <x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s v="No"/>
    <n v="13"/>
    <n v="3"/>
    <n v="3"/>
    <n v="80"/>
    <x v="1"/>
    <n v="9"/>
    <x v="1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s v="No"/>
    <n v="13"/>
    <n v="3"/>
    <n v="4"/>
    <n v="80"/>
    <x v="0"/>
    <n v="5"/>
    <x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s v="No"/>
    <n v="20"/>
    <n v="4"/>
    <n v="4"/>
    <n v="80"/>
    <x v="1"/>
    <n v="8"/>
    <x v="1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s v="Yes"/>
    <n v="14"/>
    <n v="3"/>
    <n v="3"/>
    <n v="80"/>
    <x v="1"/>
    <n v="24"/>
    <x v="1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s v="No"/>
    <n v="12"/>
    <n v="3"/>
    <n v="4"/>
    <n v="80"/>
    <x v="0"/>
    <n v="9"/>
    <x v="3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s v="Yes"/>
    <n v="12"/>
    <n v="3"/>
    <n v="2"/>
    <n v="80"/>
    <x v="1"/>
    <n v="15"/>
    <x v="1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s v="Yes"/>
    <n v="21"/>
    <n v="4"/>
    <n v="4"/>
    <n v="80"/>
    <x v="0"/>
    <n v="21"/>
    <x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s v="No"/>
    <n v="14"/>
    <n v="3"/>
    <n v="2"/>
    <n v="80"/>
    <x v="2"/>
    <n v="2"/>
    <x v="1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s v="Yes"/>
    <n v="18"/>
    <n v="3"/>
    <n v="3"/>
    <n v="80"/>
    <x v="0"/>
    <n v="8"/>
    <x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s v="No"/>
    <n v="12"/>
    <n v="3"/>
    <n v="1"/>
    <n v="80"/>
    <x v="2"/>
    <n v="10"/>
    <x v="5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s v="No"/>
    <n v="23"/>
    <n v="4"/>
    <n v="1"/>
    <n v="80"/>
    <x v="3"/>
    <n v="6"/>
    <x v="3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s v="No"/>
    <n v="12"/>
    <n v="3"/>
    <n v="1"/>
    <n v="80"/>
    <x v="1"/>
    <n v="12"/>
    <x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s v="Yes"/>
    <n v="21"/>
    <n v="4"/>
    <n v="4"/>
    <n v="80"/>
    <x v="0"/>
    <n v="7"/>
    <x v="1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s v="No"/>
    <n v="14"/>
    <n v="3"/>
    <n v="3"/>
    <n v="80"/>
    <x v="1"/>
    <n v="18"/>
    <x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s v="No"/>
    <n v="18"/>
    <n v="3"/>
    <n v="1"/>
    <n v="80"/>
    <x v="3"/>
    <n v="5"/>
    <x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s v="No"/>
    <n v="13"/>
    <n v="3"/>
    <n v="4"/>
    <n v="80"/>
    <x v="1"/>
    <n v="8"/>
    <x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s v="No"/>
    <n v="11"/>
    <n v="3"/>
    <n v="4"/>
    <n v="80"/>
    <x v="1"/>
    <n v="10"/>
    <x v="5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s v="No"/>
    <n v="11"/>
    <n v="3"/>
    <n v="3"/>
    <n v="80"/>
    <x v="0"/>
    <n v="10"/>
    <x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s v="No"/>
    <n v="19"/>
    <n v="3"/>
    <n v="2"/>
    <n v="80"/>
    <x v="0"/>
    <n v="3"/>
    <x v="1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s v="No"/>
    <n v="12"/>
    <n v="3"/>
    <n v="2"/>
    <n v="80"/>
    <x v="1"/>
    <n v="9"/>
    <x v="1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s v="Yes"/>
    <n v="12"/>
    <n v="3"/>
    <n v="4"/>
    <n v="80"/>
    <x v="1"/>
    <n v="1"/>
    <x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s v="No"/>
    <n v="16"/>
    <n v="3"/>
    <n v="2"/>
    <n v="80"/>
    <x v="1"/>
    <n v="34"/>
    <x v="5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s v="No"/>
    <n v="11"/>
    <n v="3"/>
    <n v="1"/>
    <n v="80"/>
    <x v="3"/>
    <n v="7"/>
    <x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s v="No"/>
    <n v="14"/>
    <n v="3"/>
    <n v="2"/>
    <n v="80"/>
    <x v="1"/>
    <n v="9"/>
    <x v="1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s v="No"/>
    <n v="12"/>
    <n v="3"/>
    <n v="4"/>
    <n v="80"/>
    <x v="1"/>
    <n v="10"/>
    <x v="1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s v="No"/>
    <n v="13"/>
    <n v="3"/>
    <n v="3"/>
    <n v="80"/>
    <x v="0"/>
    <n v="1"/>
    <x v="5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s v="No"/>
    <n v="21"/>
    <n v="4"/>
    <n v="3"/>
    <n v="80"/>
    <x v="1"/>
    <n v="36"/>
    <x v="1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s v="No"/>
    <n v="17"/>
    <n v="3"/>
    <n v="2"/>
    <n v="80"/>
    <x v="1"/>
    <n v="9"/>
    <x v="1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s v="No"/>
    <n v="21"/>
    <n v="4"/>
    <n v="1"/>
    <n v="80"/>
    <x v="0"/>
    <n v="1"/>
    <x v="3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s v="No"/>
    <n v="11"/>
    <n v="3"/>
    <n v="4"/>
    <n v="80"/>
    <x v="1"/>
    <n v="10"/>
    <x v="1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s v="No"/>
    <n v="12"/>
    <n v="3"/>
    <n v="2"/>
    <n v="80"/>
    <x v="0"/>
    <n v="8"/>
    <x v="3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s v="No"/>
    <n v="13"/>
    <n v="3"/>
    <n v="1"/>
    <n v="80"/>
    <x v="0"/>
    <n v="15"/>
    <x v="3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s v="Yes"/>
    <n v="18"/>
    <n v="3"/>
    <n v="4"/>
    <n v="80"/>
    <x v="0"/>
    <n v="10"/>
    <x v="1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s v="Yes"/>
    <n v="16"/>
    <n v="3"/>
    <n v="3"/>
    <n v="80"/>
    <x v="0"/>
    <n v="10"/>
    <x v="5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s v="No"/>
    <n v="11"/>
    <n v="3"/>
    <n v="1"/>
    <n v="80"/>
    <x v="1"/>
    <n v="11"/>
    <x v="1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s v="No"/>
    <n v="19"/>
    <n v="3"/>
    <n v="4"/>
    <n v="80"/>
    <x v="1"/>
    <n v="6"/>
    <x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s v="Yes"/>
    <n v="16"/>
    <n v="3"/>
    <n v="3"/>
    <n v="80"/>
    <x v="1"/>
    <n v="27"/>
    <x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s v="No"/>
    <n v="16"/>
    <n v="3"/>
    <n v="4"/>
    <n v="80"/>
    <x v="1"/>
    <n v="4"/>
    <x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s v="Yes"/>
    <n v="13"/>
    <n v="3"/>
    <n v="4"/>
    <n v="80"/>
    <x v="1"/>
    <n v="9"/>
    <x v="1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s v="No"/>
    <n v="22"/>
    <n v="4"/>
    <n v="4"/>
    <n v="80"/>
    <x v="0"/>
    <n v="24"/>
    <x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s v="No"/>
    <n v="17"/>
    <n v="3"/>
    <n v="4"/>
    <n v="80"/>
    <x v="3"/>
    <n v="10"/>
    <x v="1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s v="No"/>
    <n v="14"/>
    <n v="3"/>
    <n v="2"/>
    <n v="80"/>
    <x v="1"/>
    <n v="8"/>
    <x v="1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s v="No"/>
    <n v="15"/>
    <n v="3"/>
    <n v="3"/>
    <n v="80"/>
    <x v="1"/>
    <n v="5"/>
    <x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s v="No"/>
    <n v="12"/>
    <n v="3"/>
    <n v="3"/>
    <n v="80"/>
    <x v="1"/>
    <n v="8"/>
    <x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s v="No"/>
    <n v="18"/>
    <n v="3"/>
    <n v="4"/>
    <n v="80"/>
    <x v="1"/>
    <n v="1"/>
    <x v="3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s v="No"/>
    <n v="15"/>
    <n v="3"/>
    <n v="2"/>
    <n v="80"/>
    <x v="0"/>
    <n v="27"/>
    <x v="3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s v="Yes"/>
    <n v="17"/>
    <n v="3"/>
    <n v="3"/>
    <n v="80"/>
    <x v="2"/>
    <n v="1"/>
    <x v="1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s v="Yes"/>
    <n v="14"/>
    <n v="3"/>
    <n v="2"/>
    <n v="80"/>
    <x v="0"/>
    <n v="4"/>
    <x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s v="Yes"/>
    <n v="15"/>
    <n v="3"/>
    <n v="3"/>
    <n v="80"/>
    <x v="1"/>
    <n v="32"/>
    <x v="1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s v="No"/>
    <n v="17"/>
    <n v="3"/>
    <n v="4"/>
    <n v="80"/>
    <x v="3"/>
    <n v="6"/>
    <x v="1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s v="Yes"/>
    <n v="14"/>
    <n v="3"/>
    <n v="4"/>
    <n v="80"/>
    <x v="1"/>
    <n v="23"/>
    <x v="5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s v="No"/>
    <n v="12"/>
    <n v="3"/>
    <n v="2"/>
    <n v="80"/>
    <x v="1"/>
    <n v="6"/>
    <x v="1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s v="Yes"/>
    <n v="14"/>
    <n v="3"/>
    <n v="1"/>
    <n v="80"/>
    <x v="0"/>
    <n v="10"/>
    <x v="1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s v="No"/>
    <n v="15"/>
    <n v="3"/>
    <n v="1"/>
    <n v="80"/>
    <x v="1"/>
    <n v="10"/>
    <x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s v="No"/>
    <n v="13"/>
    <n v="3"/>
    <n v="4"/>
    <n v="80"/>
    <x v="0"/>
    <n v="10"/>
    <x v="1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s v="Yes"/>
    <n v="12"/>
    <n v="3"/>
    <n v="2"/>
    <n v="80"/>
    <x v="3"/>
    <n v="7"/>
    <x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s v="No"/>
    <n v="13"/>
    <n v="3"/>
    <n v="1"/>
    <n v="80"/>
    <x v="1"/>
    <n v="9"/>
    <x v="1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s v="No"/>
    <n v="14"/>
    <n v="3"/>
    <n v="4"/>
    <n v="80"/>
    <x v="1"/>
    <n v="10"/>
    <x v="1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s v="No"/>
    <n v="13"/>
    <n v="3"/>
    <n v="4"/>
    <n v="80"/>
    <x v="2"/>
    <n v="10"/>
    <x v="1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s v="No"/>
    <n v="11"/>
    <n v="3"/>
    <n v="1"/>
    <n v="80"/>
    <x v="3"/>
    <n v="7"/>
    <x v="1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s v="No"/>
    <n v="11"/>
    <n v="3"/>
    <n v="4"/>
    <n v="80"/>
    <x v="0"/>
    <n v="16"/>
    <x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s v="No"/>
    <n v="21"/>
    <n v="4"/>
    <n v="2"/>
    <n v="80"/>
    <x v="1"/>
    <n v="6"/>
    <x v="3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s v="No"/>
    <n v="18"/>
    <n v="3"/>
    <n v="3"/>
    <n v="80"/>
    <x v="0"/>
    <n v="3"/>
    <x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s v="Yes"/>
    <n v="12"/>
    <n v="3"/>
    <n v="3"/>
    <n v="80"/>
    <x v="0"/>
    <n v="0"/>
    <x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s v="No"/>
    <n v="11"/>
    <n v="3"/>
    <n v="3"/>
    <n v="80"/>
    <x v="1"/>
    <n v="27"/>
    <x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s v="No"/>
    <n v="15"/>
    <n v="3"/>
    <n v="4"/>
    <n v="80"/>
    <x v="1"/>
    <n v="11"/>
    <x v="1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s v="No"/>
    <n v="13"/>
    <n v="3"/>
    <n v="4"/>
    <n v="80"/>
    <x v="3"/>
    <n v="18"/>
    <x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s v="No"/>
    <n v="12"/>
    <n v="3"/>
    <n v="4"/>
    <n v="80"/>
    <x v="1"/>
    <n v="15"/>
    <x v="3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s v="No"/>
    <n v="17"/>
    <n v="3"/>
    <n v="1"/>
    <n v="80"/>
    <x v="2"/>
    <n v="9"/>
    <x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s v="No"/>
    <n v="13"/>
    <n v="3"/>
    <n v="4"/>
    <n v="80"/>
    <x v="0"/>
    <n v="10"/>
    <x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s v="No"/>
    <n v="19"/>
    <n v="3"/>
    <n v="1"/>
    <n v="80"/>
    <x v="3"/>
    <n v="10"/>
    <x v="1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s v="Yes"/>
    <n v="19"/>
    <n v="3"/>
    <n v="4"/>
    <n v="80"/>
    <x v="1"/>
    <n v="10"/>
    <x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s v="No"/>
    <n v="17"/>
    <n v="3"/>
    <n v="3"/>
    <n v="80"/>
    <x v="0"/>
    <n v="15"/>
    <x v="1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s v="No"/>
    <n v="11"/>
    <n v="3"/>
    <n v="1"/>
    <n v="80"/>
    <x v="1"/>
    <n v="8"/>
    <x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s v="Yes"/>
    <n v="15"/>
    <n v="3"/>
    <n v="4"/>
    <n v="80"/>
    <x v="0"/>
    <n v="18"/>
    <x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s v="Yes"/>
    <n v="11"/>
    <n v="3"/>
    <n v="3"/>
    <n v="80"/>
    <x v="0"/>
    <n v="14"/>
    <x v="1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s v="No"/>
    <n v="25"/>
    <n v="4"/>
    <n v="2"/>
    <n v="80"/>
    <x v="1"/>
    <n v="23"/>
    <x v="1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s v="Yes"/>
    <n v="14"/>
    <n v="3"/>
    <n v="4"/>
    <n v="80"/>
    <x v="3"/>
    <n v="7"/>
    <x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s v="Yes"/>
    <n v="13"/>
    <n v="3"/>
    <n v="3"/>
    <n v="80"/>
    <x v="0"/>
    <n v="6"/>
    <x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s v="No"/>
    <n v="17"/>
    <n v="3"/>
    <n v="1"/>
    <n v="80"/>
    <x v="0"/>
    <n v="5"/>
    <x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s v="No"/>
    <n v="13"/>
    <n v="3"/>
    <n v="3"/>
    <n v="80"/>
    <x v="0"/>
    <n v="6"/>
    <x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s v="Yes"/>
    <n v="14"/>
    <n v="3"/>
    <n v="2"/>
    <n v="80"/>
    <x v="0"/>
    <n v="10"/>
    <x v="1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s v="No"/>
    <n v="11"/>
    <n v="3"/>
    <n v="3"/>
    <n v="80"/>
    <x v="0"/>
    <n v="8"/>
    <x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s v="No"/>
    <n v="12"/>
    <n v="3"/>
    <n v="3"/>
    <n v="80"/>
    <x v="3"/>
    <n v="9"/>
    <x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s v="No"/>
    <n v="17"/>
    <n v="3"/>
    <n v="3"/>
    <n v="80"/>
    <x v="3"/>
    <n v="7"/>
    <x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s v="No"/>
    <n v="21"/>
    <n v="4"/>
    <n v="3"/>
    <n v="80"/>
    <x v="0"/>
    <n v="7"/>
    <x v="1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s v="No"/>
    <n v="16"/>
    <n v="3"/>
    <n v="2"/>
    <n v="80"/>
    <x v="3"/>
    <n v="27"/>
    <x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s v="No"/>
    <n v="15"/>
    <n v="3"/>
    <n v="3"/>
    <n v="80"/>
    <x v="2"/>
    <n v="19"/>
    <x v="1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s v="No"/>
    <n v="19"/>
    <n v="3"/>
    <n v="1"/>
    <n v="80"/>
    <x v="0"/>
    <n v="2"/>
    <x v="1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s v="No"/>
    <n v="12"/>
    <n v="3"/>
    <n v="3"/>
    <n v="80"/>
    <x v="1"/>
    <n v="11"/>
    <x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s v="No"/>
    <n v="11"/>
    <n v="3"/>
    <n v="3"/>
    <n v="80"/>
    <x v="0"/>
    <n v="15"/>
    <x v="5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s v="Yes"/>
    <n v="19"/>
    <n v="3"/>
    <n v="2"/>
    <n v="80"/>
    <x v="1"/>
    <n v="30"/>
    <x v="1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s v="No"/>
    <n v="15"/>
    <n v="3"/>
    <n v="3"/>
    <n v="80"/>
    <x v="0"/>
    <n v="4"/>
    <x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s v="No"/>
    <n v="20"/>
    <n v="4"/>
    <n v="1"/>
    <n v="80"/>
    <x v="1"/>
    <n v="13"/>
    <x v="1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s v="No"/>
    <n v="25"/>
    <n v="4"/>
    <n v="3"/>
    <n v="80"/>
    <x v="1"/>
    <n v="36"/>
    <x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s v="No"/>
    <n v="24"/>
    <n v="4"/>
    <n v="1"/>
    <n v="80"/>
    <x v="1"/>
    <n v="14"/>
    <x v="1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s v="Yes"/>
    <n v="24"/>
    <n v="4"/>
    <n v="1"/>
    <n v="80"/>
    <x v="0"/>
    <n v="13"/>
    <x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s v="No"/>
    <n v="15"/>
    <n v="3"/>
    <n v="4"/>
    <n v="80"/>
    <x v="3"/>
    <n v="19"/>
    <x v="5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s v="Yes"/>
    <n v="13"/>
    <n v="3"/>
    <n v="2"/>
    <n v="80"/>
    <x v="1"/>
    <n v="10"/>
    <x v="1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s v="No"/>
    <n v="14"/>
    <n v="3"/>
    <n v="3"/>
    <n v="80"/>
    <x v="3"/>
    <n v="6"/>
    <x v="3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s v="No"/>
    <n v="13"/>
    <n v="3"/>
    <n v="3"/>
    <n v="80"/>
    <x v="3"/>
    <n v="10"/>
    <x v="5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s v="No"/>
    <n v="11"/>
    <n v="3"/>
    <n v="1"/>
    <n v="80"/>
    <x v="3"/>
    <n v="10"/>
    <x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s v="Yes"/>
    <n v="16"/>
    <n v="3"/>
    <n v="2"/>
    <n v="80"/>
    <x v="1"/>
    <n v="17"/>
    <x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s v="No"/>
    <n v="22"/>
    <n v="4"/>
    <n v="2"/>
    <n v="80"/>
    <x v="0"/>
    <n v="4"/>
    <x v="1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s v="No"/>
    <n v="14"/>
    <n v="3"/>
    <n v="3"/>
    <n v="80"/>
    <x v="2"/>
    <n v="29"/>
    <x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s v="No"/>
    <n v="14"/>
    <n v="3"/>
    <n v="1"/>
    <n v="80"/>
    <x v="0"/>
    <n v="23"/>
    <x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s v="Yes"/>
    <n v="16"/>
    <n v="3"/>
    <n v="4"/>
    <n v="80"/>
    <x v="0"/>
    <n v="21"/>
    <x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s v="No"/>
    <n v="11"/>
    <n v="3"/>
    <n v="1"/>
    <n v="80"/>
    <x v="0"/>
    <n v="2"/>
    <x v="1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s v="Yes"/>
    <n v="25"/>
    <n v="4"/>
    <n v="3"/>
    <n v="80"/>
    <x v="1"/>
    <n v="7"/>
    <x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s v="No"/>
    <n v="14"/>
    <n v="3"/>
    <n v="2"/>
    <n v="80"/>
    <x v="3"/>
    <n v="10"/>
    <x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s v="Yes"/>
    <n v="18"/>
    <n v="3"/>
    <n v="1"/>
    <n v="80"/>
    <x v="2"/>
    <n v="8"/>
    <x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s v="Yes"/>
    <n v="11"/>
    <n v="3"/>
    <n v="1"/>
    <n v="80"/>
    <x v="0"/>
    <n v="5"/>
    <x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s v="No"/>
    <n v="19"/>
    <n v="3"/>
    <n v="4"/>
    <n v="80"/>
    <x v="1"/>
    <n v="7"/>
    <x v="3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s v="No"/>
    <n v="15"/>
    <n v="3"/>
    <n v="3"/>
    <n v="80"/>
    <x v="0"/>
    <n v="11"/>
    <x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s v="Yes"/>
    <n v="11"/>
    <n v="3"/>
    <n v="3"/>
    <n v="80"/>
    <x v="3"/>
    <n v="19"/>
    <x v="1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s v="No"/>
    <n v="12"/>
    <n v="3"/>
    <n v="1"/>
    <n v="80"/>
    <x v="0"/>
    <n v="1"/>
    <x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s v="No"/>
    <n v="20"/>
    <n v="4"/>
    <n v="3"/>
    <n v="80"/>
    <x v="0"/>
    <n v="7"/>
    <x v="3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s v="No"/>
    <n v="12"/>
    <n v="3"/>
    <n v="4"/>
    <n v="80"/>
    <x v="1"/>
    <n v="8"/>
    <x v="4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s v="No"/>
    <n v="14"/>
    <n v="3"/>
    <n v="3"/>
    <n v="80"/>
    <x v="1"/>
    <n v="15"/>
    <x v="1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s v="No"/>
    <n v="20"/>
    <n v="4"/>
    <n v="3"/>
    <n v="80"/>
    <x v="1"/>
    <n v="19"/>
    <x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s v="No"/>
    <n v="18"/>
    <n v="3"/>
    <n v="4"/>
    <n v="80"/>
    <x v="2"/>
    <n v="14"/>
    <x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s v="No"/>
    <n v="14"/>
    <n v="3"/>
    <n v="3"/>
    <n v="80"/>
    <x v="3"/>
    <n v="6"/>
    <x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s v="No"/>
    <n v="12"/>
    <n v="3"/>
    <n v="2"/>
    <n v="80"/>
    <x v="0"/>
    <n v="10"/>
    <x v="1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s v="Yes"/>
    <n v="21"/>
    <n v="4"/>
    <n v="2"/>
    <n v="80"/>
    <x v="1"/>
    <n v="3"/>
    <x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s v="Yes"/>
    <n v="19"/>
    <n v="3"/>
    <n v="2"/>
    <n v="80"/>
    <x v="1"/>
    <n v="9"/>
    <x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s v="Yes"/>
    <n v="14"/>
    <n v="3"/>
    <n v="3"/>
    <n v="80"/>
    <x v="0"/>
    <n v="6"/>
    <x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s v="Yes"/>
    <n v="17"/>
    <n v="3"/>
    <n v="1"/>
    <n v="80"/>
    <x v="1"/>
    <n v="10"/>
    <x v="1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s v="No"/>
    <n v="16"/>
    <n v="3"/>
    <n v="4"/>
    <n v="80"/>
    <x v="1"/>
    <n v="5"/>
    <x v="4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s v="No"/>
    <n v="12"/>
    <n v="3"/>
    <n v="2"/>
    <n v="80"/>
    <x v="0"/>
    <n v="10"/>
    <x v="1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s v="No"/>
    <n v="17"/>
    <n v="3"/>
    <n v="3"/>
    <n v="80"/>
    <x v="1"/>
    <n v="9"/>
    <x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s v="No"/>
    <n v="15"/>
    <n v="3"/>
    <n v="3"/>
    <n v="80"/>
    <x v="0"/>
    <n v="17"/>
    <x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s v="No"/>
    <n v="23"/>
    <n v="4"/>
    <n v="4"/>
    <n v="80"/>
    <x v="1"/>
    <n v="25"/>
    <x v="1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s v="No"/>
    <n v="11"/>
    <n v="3"/>
    <n v="3"/>
    <n v="80"/>
    <x v="1"/>
    <n v="1"/>
    <x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s v="No"/>
    <n v="11"/>
    <n v="3"/>
    <n v="3"/>
    <n v="80"/>
    <x v="0"/>
    <n v="25"/>
    <x v="1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s v="No"/>
    <n v="15"/>
    <n v="3"/>
    <n v="3"/>
    <n v="80"/>
    <x v="2"/>
    <n v="3"/>
    <x v="1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s v="No"/>
    <n v="11"/>
    <n v="3"/>
    <n v="3"/>
    <n v="80"/>
    <x v="0"/>
    <n v="21"/>
    <x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s v="No"/>
    <n v="13"/>
    <n v="3"/>
    <n v="1"/>
    <n v="80"/>
    <x v="1"/>
    <n v="10"/>
    <x v="1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s v="No"/>
    <n v="14"/>
    <n v="3"/>
    <n v="4"/>
    <n v="80"/>
    <x v="1"/>
    <n v="6"/>
    <x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s v="No"/>
    <n v="19"/>
    <n v="3"/>
    <n v="2"/>
    <n v="80"/>
    <x v="1"/>
    <n v="10"/>
    <x v="5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s v="Yes"/>
    <n v="16"/>
    <n v="3"/>
    <n v="2"/>
    <n v="80"/>
    <x v="1"/>
    <n v="18"/>
    <x v="1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s v="No"/>
    <n v="13"/>
    <n v="3"/>
    <n v="2"/>
    <n v="80"/>
    <x v="2"/>
    <n v="6"/>
    <x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s v="No"/>
    <n v="14"/>
    <n v="3"/>
    <n v="4"/>
    <n v="80"/>
    <x v="0"/>
    <n v="19"/>
    <x v="1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s v="No"/>
    <n v="16"/>
    <n v="3"/>
    <n v="2"/>
    <n v="80"/>
    <x v="1"/>
    <n v="17"/>
    <x v="1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s v="No"/>
    <n v="12"/>
    <n v="3"/>
    <n v="2"/>
    <n v="80"/>
    <x v="1"/>
    <n v="10"/>
    <x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s v="No"/>
    <n v="11"/>
    <n v="3"/>
    <n v="4"/>
    <n v="80"/>
    <x v="1"/>
    <n v="4"/>
    <x v="1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s v="Yes"/>
    <n v="12"/>
    <n v="3"/>
    <n v="2"/>
    <n v="80"/>
    <x v="1"/>
    <n v="13"/>
    <x v="3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s v="Yes"/>
    <n v="13"/>
    <n v="3"/>
    <n v="2"/>
    <n v="80"/>
    <x v="2"/>
    <n v="16"/>
    <x v="1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s v="No"/>
    <n v="15"/>
    <n v="3"/>
    <n v="2"/>
    <n v="80"/>
    <x v="0"/>
    <n v="10"/>
    <x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s v="No"/>
    <n v="13"/>
    <n v="3"/>
    <n v="3"/>
    <n v="80"/>
    <x v="0"/>
    <n v="3"/>
    <x v="1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s v="No"/>
    <n v="20"/>
    <n v="4"/>
    <n v="4"/>
    <n v="80"/>
    <x v="0"/>
    <n v="9"/>
    <x v="1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s v="Yes"/>
    <n v="15"/>
    <n v="3"/>
    <n v="4"/>
    <n v="80"/>
    <x v="1"/>
    <n v="9"/>
    <x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s v="No"/>
    <n v="13"/>
    <n v="3"/>
    <n v="3"/>
    <n v="80"/>
    <x v="1"/>
    <n v="10"/>
    <x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s v="No"/>
    <n v="14"/>
    <n v="3"/>
    <n v="2"/>
    <n v="80"/>
    <x v="0"/>
    <n v="21"/>
    <x v="1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s v="No"/>
    <n v="21"/>
    <n v="4"/>
    <n v="3"/>
    <n v="80"/>
    <x v="3"/>
    <n v="9"/>
    <x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s v="No"/>
    <n v="16"/>
    <n v="3"/>
    <n v="4"/>
    <n v="80"/>
    <x v="0"/>
    <n v="10"/>
    <x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s v="No"/>
    <n v="14"/>
    <n v="3"/>
    <n v="4"/>
    <n v="80"/>
    <x v="1"/>
    <n v="3"/>
    <x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s v="No"/>
    <n v="11"/>
    <n v="3"/>
    <n v="3"/>
    <n v="80"/>
    <x v="1"/>
    <n v="6"/>
    <x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s v="No"/>
    <n v="19"/>
    <n v="3"/>
    <n v="3"/>
    <n v="80"/>
    <x v="1"/>
    <n v="6"/>
    <x v="1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s v="No"/>
    <n v="11"/>
    <n v="3"/>
    <n v="3"/>
    <n v="80"/>
    <x v="0"/>
    <n v="6"/>
    <x v="3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s v="No"/>
    <n v="13"/>
    <n v="3"/>
    <n v="3"/>
    <n v="80"/>
    <x v="0"/>
    <n v="2"/>
    <x v="1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s v="Yes"/>
    <n v="12"/>
    <n v="3"/>
    <n v="4"/>
    <n v="80"/>
    <x v="0"/>
    <n v="10"/>
    <x v="3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s v="No"/>
    <n v="11"/>
    <n v="3"/>
    <n v="1"/>
    <n v="80"/>
    <x v="1"/>
    <n v="12"/>
    <x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s v="Yes"/>
    <n v="14"/>
    <n v="3"/>
    <n v="1"/>
    <n v="80"/>
    <x v="2"/>
    <n v="6"/>
    <x v="1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s v="No"/>
    <n v="15"/>
    <n v="3"/>
    <n v="4"/>
    <n v="80"/>
    <x v="0"/>
    <n v="13"/>
    <x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s v="No"/>
    <n v="12"/>
    <n v="3"/>
    <n v="3"/>
    <n v="80"/>
    <x v="0"/>
    <n v="8"/>
    <x v="4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s v="Yes"/>
    <n v="20"/>
    <n v="4"/>
    <n v="3"/>
    <n v="80"/>
    <x v="0"/>
    <n v="11"/>
    <x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s v="No"/>
    <n v="14"/>
    <n v="3"/>
    <n v="2"/>
    <n v="80"/>
    <x v="1"/>
    <n v="9"/>
    <x v="5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s v="No"/>
    <n v="13"/>
    <n v="3"/>
    <n v="1"/>
    <n v="80"/>
    <x v="2"/>
    <n v="10"/>
    <x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s v="No"/>
    <n v="13"/>
    <n v="3"/>
    <n v="3"/>
    <n v="80"/>
    <x v="1"/>
    <n v="1"/>
    <x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s v="No"/>
    <n v="16"/>
    <n v="3"/>
    <n v="3"/>
    <n v="80"/>
    <x v="1"/>
    <n v="10"/>
    <x v="1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s v="No"/>
    <n v="14"/>
    <n v="3"/>
    <n v="2"/>
    <n v="80"/>
    <x v="0"/>
    <n v="12"/>
    <x v="1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s v="Yes"/>
    <n v="16"/>
    <n v="3"/>
    <n v="3"/>
    <n v="80"/>
    <x v="1"/>
    <n v="15"/>
    <x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s v="Yes"/>
    <n v="16"/>
    <n v="3"/>
    <n v="4"/>
    <n v="80"/>
    <x v="1"/>
    <n v="6"/>
    <x v="5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s v="No"/>
    <n v="22"/>
    <n v="4"/>
    <n v="2"/>
    <n v="80"/>
    <x v="2"/>
    <n v="7"/>
    <x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s v="No"/>
    <n v="12"/>
    <n v="3"/>
    <n v="2"/>
    <n v="80"/>
    <x v="2"/>
    <n v="34"/>
    <x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s v="No"/>
    <n v="15"/>
    <n v="3"/>
    <n v="4"/>
    <n v="80"/>
    <x v="3"/>
    <n v="11"/>
    <x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s v="No"/>
    <n v="20"/>
    <n v="4"/>
    <n v="2"/>
    <n v="80"/>
    <x v="3"/>
    <n v="5"/>
    <x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s v="Yes"/>
    <n v="14"/>
    <n v="3"/>
    <n v="3"/>
    <n v="80"/>
    <x v="1"/>
    <n v="15"/>
    <x v="1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s v="Yes"/>
    <n v="20"/>
    <n v="4"/>
    <n v="4"/>
    <n v="80"/>
    <x v="2"/>
    <n v="27"/>
    <x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s v="No"/>
    <n v="13"/>
    <n v="3"/>
    <n v="2"/>
    <n v="80"/>
    <x v="0"/>
    <n v="10"/>
    <x v="3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s v="No"/>
    <n v="12"/>
    <n v="3"/>
    <n v="1"/>
    <n v="80"/>
    <x v="0"/>
    <n v="6"/>
    <x v="1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s v="No"/>
    <n v="13"/>
    <n v="3"/>
    <n v="2"/>
    <n v="80"/>
    <x v="0"/>
    <n v="1"/>
    <x v="1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s v="No"/>
    <n v="11"/>
    <n v="3"/>
    <n v="2"/>
    <n v="80"/>
    <x v="1"/>
    <n v="5"/>
    <x v="1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s v="Yes"/>
    <n v="17"/>
    <n v="3"/>
    <n v="3"/>
    <n v="80"/>
    <x v="0"/>
    <n v="1"/>
    <x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s v="No"/>
    <n v="14"/>
    <n v="3"/>
    <n v="1"/>
    <n v="80"/>
    <x v="3"/>
    <n v="13"/>
    <x v="1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s v="No"/>
    <n v="11"/>
    <n v="3"/>
    <n v="4"/>
    <n v="80"/>
    <x v="0"/>
    <n v="15"/>
    <x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s v="No"/>
    <n v="14"/>
    <n v="3"/>
    <n v="1"/>
    <n v="80"/>
    <x v="3"/>
    <n v="5"/>
    <x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s v="Yes"/>
    <n v="17"/>
    <n v="3"/>
    <n v="3"/>
    <n v="80"/>
    <x v="1"/>
    <n v="24"/>
    <x v="1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s v="Yes"/>
    <n v="13"/>
    <n v="3"/>
    <n v="4"/>
    <n v="80"/>
    <x v="1"/>
    <n v="15"/>
    <x v="4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s v="Yes"/>
    <n v="12"/>
    <n v="3"/>
    <n v="3"/>
    <n v="80"/>
    <x v="2"/>
    <n v="6"/>
    <x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s v="No"/>
    <n v="13"/>
    <n v="3"/>
    <n v="3"/>
    <n v="80"/>
    <x v="0"/>
    <n v="19"/>
    <x v="5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s v="Yes"/>
    <n v="18"/>
    <n v="3"/>
    <n v="4"/>
    <n v="80"/>
    <x v="0"/>
    <n v="10"/>
    <x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s v="No"/>
    <n v="19"/>
    <n v="3"/>
    <n v="2"/>
    <n v="80"/>
    <x v="1"/>
    <n v="14"/>
    <x v="4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s v="No"/>
    <n v="11"/>
    <n v="3"/>
    <n v="3"/>
    <n v="80"/>
    <x v="1"/>
    <n v="5"/>
    <x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s v="No"/>
    <n v="21"/>
    <n v="4"/>
    <n v="3"/>
    <n v="80"/>
    <x v="0"/>
    <n v="9"/>
    <x v="1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s v="No"/>
    <n v="15"/>
    <n v="3"/>
    <n v="3"/>
    <n v="80"/>
    <x v="0"/>
    <n v="6"/>
    <x v="1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s v="No"/>
    <n v="17"/>
    <n v="3"/>
    <n v="4"/>
    <n v="80"/>
    <x v="1"/>
    <n v="7"/>
    <x v="3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s v="No"/>
    <n v="18"/>
    <n v="3"/>
    <n v="3"/>
    <n v="80"/>
    <x v="3"/>
    <n v="10"/>
    <x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s v="No"/>
    <n v="14"/>
    <n v="3"/>
    <n v="3"/>
    <n v="80"/>
    <x v="1"/>
    <n v="15"/>
    <x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s v="No"/>
    <n v="13"/>
    <n v="3"/>
    <n v="4"/>
    <n v="80"/>
    <x v="2"/>
    <n v="13"/>
    <x v="1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s v="No"/>
    <n v="17"/>
    <n v="3"/>
    <n v="3"/>
    <n v="80"/>
    <x v="1"/>
    <n v="11"/>
    <x v="1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s v="No"/>
    <n v="15"/>
    <n v="3"/>
    <n v="2"/>
    <n v="80"/>
    <x v="0"/>
    <n v="10"/>
    <x v="5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s v="No"/>
    <n v="18"/>
    <n v="3"/>
    <n v="4"/>
    <n v="80"/>
    <x v="1"/>
    <n v="7"/>
    <x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s v="No"/>
    <n v="13"/>
    <n v="3"/>
    <n v="3"/>
    <n v="80"/>
    <x v="0"/>
    <n v="7"/>
    <x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s v="No"/>
    <n v="12"/>
    <n v="3"/>
    <n v="1"/>
    <n v="80"/>
    <x v="0"/>
    <n v="11"/>
    <x v="1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s v="Yes"/>
    <n v="13"/>
    <n v="3"/>
    <n v="4"/>
    <n v="80"/>
    <x v="1"/>
    <n v="23"/>
    <x v="1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s v="No"/>
    <n v="14"/>
    <n v="3"/>
    <n v="2"/>
    <n v="80"/>
    <x v="0"/>
    <n v="9"/>
    <x v="1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s v="Yes"/>
    <n v="11"/>
    <n v="3"/>
    <n v="3"/>
    <n v="80"/>
    <x v="0"/>
    <n v="6"/>
    <x v="1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s v="No"/>
    <n v="22"/>
    <n v="4"/>
    <n v="4"/>
    <n v="80"/>
    <x v="1"/>
    <n v="13"/>
    <x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s v="No"/>
    <n v="17"/>
    <n v="3"/>
    <n v="4"/>
    <n v="80"/>
    <x v="1"/>
    <n v="12"/>
    <x v="1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s v="No"/>
    <n v="21"/>
    <n v="4"/>
    <n v="3"/>
    <n v="80"/>
    <x v="3"/>
    <n v="10"/>
    <x v="3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s v="No"/>
    <n v="22"/>
    <n v="4"/>
    <n v="4"/>
    <n v="80"/>
    <x v="1"/>
    <n v="37"/>
    <x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s v="No"/>
    <n v="16"/>
    <n v="3"/>
    <n v="2"/>
    <n v="80"/>
    <x v="1"/>
    <n v="6"/>
    <x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s v="Yes"/>
    <n v="12"/>
    <n v="3"/>
    <n v="3"/>
    <n v="80"/>
    <x v="1"/>
    <n v="28"/>
    <x v="5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s v="No"/>
    <n v="12"/>
    <n v="3"/>
    <n v="2"/>
    <n v="80"/>
    <x v="1"/>
    <n v="15"/>
    <x v="1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s v="No"/>
    <n v="15"/>
    <n v="3"/>
    <n v="2"/>
    <n v="80"/>
    <x v="1"/>
    <n v="14"/>
    <x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s v="No"/>
    <n v="14"/>
    <n v="3"/>
    <n v="4"/>
    <n v="80"/>
    <x v="3"/>
    <n v="9"/>
    <x v="1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s v="No"/>
    <n v="25"/>
    <n v="4"/>
    <n v="3"/>
    <n v="80"/>
    <x v="1"/>
    <n v="3"/>
    <x v="1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s v="Yes"/>
    <n v="20"/>
    <n v="4"/>
    <n v="1"/>
    <n v="80"/>
    <x v="3"/>
    <n v="20"/>
    <x v="5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s v="No"/>
    <n v="13"/>
    <n v="3"/>
    <n v="1"/>
    <n v="80"/>
    <x v="0"/>
    <n v="5"/>
    <x v="5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s v="Yes"/>
    <n v="14"/>
    <n v="3"/>
    <n v="2"/>
    <n v="80"/>
    <x v="0"/>
    <n v="23"/>
    <x v="1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s v="No"/>
    <n v="16"/>
    <n v="3"/>
    <n v="3"/>
    <n v="80"/>
    <x v="0"/>
    <n v="0"/>
    <x v="5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s v="No"/>
    <n v="17"/>
    <n v="3"/>
    <n v="3"/>
    <n v="80"/>
    <x v="0"/>
    <n v="2"/>
    <x v="5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s v="Yes"/>
    <n v="15"/>
    <n v="3"/>
    <n v="4"/>
    <n v="80"/>
    <x v="2"/>
    <n v="4"/>
    <x v="1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s v="No"/>
    <n v="22"/>
    <n v="4"/>
    <n v="2"/>
    <n v="80"/>
    <x v="3"/>
    <n v="10"/>
    <x v="1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s v="Yes"/>
    <n v="22"/>
    <n v="4"/>
    <n v="4"/>
    <n v="80"/>
    <x v="1"/>
    <n v="15"/>
    <x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s v="No"/>
    <n v="20"/>
    <n v="4"/>
    <n v="3"/>
    <n v="80"/>
    <x v="1"/>
    <n v="7"/>
    <x v="3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s v="Yes"/>
    <n v="14"/>
    <n v="3"/>
    <n v="3"/>
    <n v="80"/>
    <x v="0"/>
    <n v="6"/>
    <x v="1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s v="No"/>
    <n v="13"/>
    <n v="3"/>
    <n v="2"/>
    <n v="80"/>
    <x v="0"/>
    <n v="11"/>
    <x v="1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s v="No"/>
    <n v="13"/>
    <n v="3"/>
    <n v="3"/>
    <n v="80"/>
    <x v="0"/>
    <n v="4"/>
    <x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s v="No"/>
    <n v="22"/>
    <n v="4"/>
    <n v="2"/>
    <n v="80"/>
    <x v="3"/>
    <n v="10"/>
    <x v="4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s v="No"/>
    <n v="12"/>
    <n v="3"/>
    <n v="3"/>
    <n v="80"/>
    <x v="0"/>
    <n v="7"/>
    <x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s v="No"/>
    <n v="14"/>
    <n v="3"/>
    <n v="3"/>
    <n v="80"/>
    <x v="1"/>
    <n v="12"/>
    <x v="5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s v="No"/>
    <n v="15"/>
    <n v="3"/>
    <n v="2"/>
    <n v="80"/>
    <x v="1"/>
    <n v="3"/>
    <x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s v="No"/>
    <n v="17"/>
    <n v="3"/>
    <n v="4"/>
    <n v="80"/>
    <x v="3"/>
    <n v="11"/>
    <x v="1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s v="No"/>
    <n v="13"/>
    <n v="3"/>
    <n v="4"/>
    <n v="80"/>
    <x v="0"/>
    <n v="8"/>
    <x v="1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s v="Yes"/>
    <n v="12"/>
    <n v="3"/>
    <n v="3"/>
    <n v="80"/>
    <x v="0"/>
    <n v="7"/>
    <x v="1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s v="No"/>
    <n v="12"/>
    <n v="3"/>
    <n v="4"/>
    <n v="80"/>
    <x v="1"/>
    <n v="25"/>
    <x v="3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s v="No"/>
    <n v="21"/>
    <n v="4"/>
    <n v="4"/>
    <n v="80"/>
    <x v="1"/>
    <n v="9"/>
    <x v="3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s v="No"/>
    <n v="11"/>
    <n v="3"/>
    <n v="4"/>
    <n v="80"/>
    <x v="0"/>
    <n v="1"/>
    <x v="1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s v="No"/>
    <n v="13"/>
    <n v="3"/>
    <n v="4"/>
    <n v="80"/>
    <x v="0"/>
    <n v="21"/>
    <x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s v="No"/>
    <n v="12"/>
    <n v="3"/>
    <n v="4"/>
    <n v="80"/>
    <x v="0"/>
    <n v="29"/>
    <x v="1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s v="Yes"/>
    <n v="24"/>
    <n v="4"/>
    <n v="2"/>
    <n v="80"/>
    <x v="0"/>
    <n v="1"/>
    <x v="1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s v="No"/>
    <n v="21"/>
    <n v="4"/>
    <n v="3"/>
    <n v="80"/>
    <x v="2"/>
    <n v="14"/>
    <x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s v="No"/>
    <n v="19"/>
    <n v="3"/>
    <n v="4"/>
    <n v="80"/>
    <x v="1"/>
    <n v="8"/>
    <x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s v="No"/>
    <n v="14"/>
    <n v="3"/>
    <n v="2"/>
    <n v="80"/>
    <x v="2"/>
    <n v="7"/>
    <x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s v="No"/>
    <n v="20"/>
    <n v="4"/>
    <n v="2"/>
    <n v="80"/>
    <x v="1"/>
    <n v="19"/>
    <x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s v="No"/>
    <n v="19"/>
    <n v="3"/>
    <n v="4"/>
    <n v="80"/>
    <x v="1"/>
    <n v="1"/>
    <x v="1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s v="No"/>
    <n v="13"/>
    <n v="3"/>
    <n v="3"/>
    <n v="80"/>
    <x v="0"/>
    <n v="1"/>
    <x v="1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s v="Yes"/>
    <n v="23"/>
    <n v="4"/>
    <n v="1"/>
    <n v="80"/>
    <x v="0"/>
    <n v="1"/>
    <x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s v="Yes"/>
    <n v="13"/>
    <n v="3"/>
    <n v="1"/>
    <n v="80"/>
    <x v="1"/>
    <n v="10"/>
    <x v="5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s v="No"/>
    <n v="11"/>
    <n v="3"/>
    <n v="1"/>
    <n v="80"/>
    <x v="1"/>
    <n v="10"/>
    <x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s v="Yes"/>
    <n v="13"/>
    <n v="3"/>
    <n v="4"/>
    <n v="80"/>
    <x v="2"/>
    <n v="9"/>
    <x v="1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s v="No"/>
    <n v="14"/>
    <n v="3"/>
    <n v="2"/>
    <n v="80"/>
    <x v="0"/>
    <n v="11"/>
    <x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s v="Yes"/>
    <n v="22"/>
    <n v="4"/>
    <n v="3"/>
    <n v="80"/>
    <x v="1"/>
    <n v="16"/>
    <x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s v="Yes"/>
    <n v="11"/>
    <n v="3"/>
    <n v="4"/>
    <n v="80"/>
    <x v="0"/>
    <n v="4"/>
    <x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s v="No"/>
    <n v="13"/>
    <n v="3"/>
    <n v="4"/>
    <n v="80"/>
    <x v="3"/>
    <n v="10"/>
    <x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s v="No"/>
    <n v="21"/>
    <n v="4"/>
    <n v="4"/>
    <n v="80"/>
    <x v="0"/>
    <n v="10"/>
    <x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s v="No"/>
    <n v="11"/>
    <n v="3"/>
    <n v="1"/>
    <n v="80"/>
    <x v="1"/>
    <n v="22"/>
    <x v="1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s v="Yes"/>
    <n v="13"/>
    <n v="3"/>
    <n v="3"/>
    <n v="80"/>
    <x v="1"/>
    <n v="1"/>
    <x v="1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s v="No"/>
    <n v="14"/>
    <n v="3"/>
    <n v="2"/>
    <n v="80"/>
    <x v="0"/>
    <n v="9"/>
    <x v="3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s v="No"/>
    <n v="11"/>
    <n v="3"/>
    <n v="2"/>
    <n v="80"/>
    <x v="1"/>
    <n v="24"/>
    <x v="1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s v="No"/>
    <n v="15"/>
    <n v="3"/>
    <n v="4"/>
    <n v="80"/>
    <x v="1"/>
    <n v="10"/>
    <x v="3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s v="Yes"/>
    <n v="23"/>
    <n v="4"/>
    <n v="2"/>
    <n v="80"/>
    <x v="1"/>
    <n v="5"/>
    <x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s v="No"/>
    <n v="16"/>
    <n v="3"/>
    <n v="4"/>
    <n v="80"/>
    <x v="0"/>
    <n v="5"/>
    <x v="1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s v="No"/>
    <n v="16"/>
    <n v="3"/>
    <n v="3"/>
    <n v="80"/>
    <x v="3"/>
    <n v="12"/>
    <x v="4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s v="No"/>
    <n v="21"/>
    <n v="4"/>
    <n v="3"/>
    <n v="80"/>
    <x v="1"/>
    <n v="14"/>
    <x v="1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s v="No"/>
    <n v="13"/>
    <n v="3"/>
    <n v="2"/>
    <n v="80"/>
    <x v="1"/>
    <n v="18"/>
    <x v="1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s v="Yes"/>
    <n v="11"/>
    <n v="3"/>
    <n v="4"/>
    <n v="80"/>
    <x v="1"/>
    <n v="8"/>
    <x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s v="Yes"/>
    <n v="12"/>
    <n v="3"/>
    <n v="3"/>
    <n v="80"/>
    <x v="0"/>
    <n v="9"/>
    <x v="1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s v="No"/>
    <n v="12"/>
    <n v="3"/>
    <n v="2"/>
    <n v="80"/>
    <x v="1"/>
    <n v="4"/>
    <x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s v="No"/>
    <n v="18"/>
    <n v="3"/>
    <n v="1"/>
    <n v="80"/>
    <x v="1"/>
    <n v="8"/>
    <x v="1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s v="No"/>
    <n v="12"/>
    <n v="3"/>
    <n v="3"/>
    <n v="80"/>
    <x v="0"/>
    <n v="12"/>
    <x v="1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s v="No"/>
    <n v="14"/>
    <n v="3"/>
    <n v="2"/>
    <n v="80"/>
    <x v="0"/>
    <n v="10"/>
    <x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s v="Yes"/>
    <n v="12"/>
    <n v="3"/>
    <n v="3"/>
    <n v="80"/>
    <x v="1"/>
    <n v="7"/>
    <x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s v="No"/>
    <n v="17"/>
    <n v="3"/>
    <n v="4"/>
    <n v="80"/>
    <x v="0"/>
    <n v="1"/>
    <x v="1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s v="No"/>
    <n v="19"/>
    <n v="3"/>
    <n v="3"/>
    <n v="80"/>
    <x v="1"/>
    <n v="10"/>
    <x v="4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s v="No"/>
    <n v="11"/>
    <n v="3"/>
    <n v="3"/>
    <n v="80"/>
    <x v="1"/>
    <n v="6"/>
    <x v="1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s v="Yes"/>
    <n v="15"/>
    <n v="3"/>
    <n v="2"/>
    <n v="80"/>
    <x v="0"/>
    <n v="16"/>
    <x v="1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s v="Yes"/>
    <n v="11"/>
    <n v="3"/>
    <n v="4"/>
    <n v="80"/>
    <x v="0"/>
    <n v="6"/>
    <x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s v="No"/>
    <n v="18"/>
    <n v="3"/>
    <n v="3"/>
    <n v="80"/>
    <x v="1"/>
    <n v="16"/>
    <x v="5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s v="No"/>
    <n v="16"/>
    <n v="3"/>
    <n v="3"/>
    <n v="80"/>
    <x v="1"/>
    <n v="6"/>
    <x v="1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s v="No"/>
    <n v="25"/>
    <n v="4"/>
    <n v="4"/>
    <n v="80"/>
    <x v="1"/>
    <n v="10"/>
    <x v="1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s v="Yes"/>
    <n v="16"/>
    <n v="3"/>
    <n v="3"/>
    <n v="80"/>
    <x v="1"/>
    <n v="20"/>
    <x v="1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s v="Yes"/>
    <n v="13"/>
    <n v="3"/>
    <n v="3"/>
    <n v="80"/>
    <x v="1"/>
    <n v="29"/>
    <x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s v="Yes"/>
    <n v="14"/>
    <n v="3"/>
    <n v="1"/>
    <n v="80"/>
    <x v="0"/>
    <n v="8"/>
    <x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s v="No"/>
    <n v="19"/>
    <n v="3"/>
    <n v="4"/>
    <n v="80"/>
    <x v="3"/>
    <n v="10"/>
    <x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s v="No"/>
    <n v="15"/>
    <n v="3"/>
    <n v="4"/>
    <n v="80"/>
    <x v="0"/>
    <n v="28"/>
    <x v="1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s v="Yes"/>
    <n v="12"/>
    <n v="3"/>
    <n v="3"/>
    <n v="80"/>
    <x v="3"/>
    <n v="14"/>
    <x v="5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s v="No"/>
    <n v="12"/>
    <n v="3"/>
    <n v="1"/>
    <n v="80"/>
    <x v="0"/>
    <n v="1"/>
    <x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s v="No"/>
    <n v="16"/>
    <n v="3"/>
    <n v="4"/>
    <n v="80"/>
    <x v="1"/>
    <n v="6"/>
    <x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s v="No"/>
    <n v="14"/>
    <n v="3"/>
    <n v="3"/>
    <n v="80"/>
    <x v="0"/>
    <n v="5"/>
    <x v="1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s v="Yes"/>
    <n v="13"/>
    <n v="3"/>
    <n v="4"/>
    <n v="80"/>
    <x v="1"/>
    <n v="4"/>
    <x v="1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s v="No"/>
    <n v="22"/>
    <n v="4"/>
    <n v="2"/>
    <n v="80"/>
    <x v="0"/>
    <n v="5"/>
    <x v="1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s v="No"/>
    <n v="21"/>
    <n v="4"/>
    <n v="1"/>
    <n v="80"/>
    <x v="0"/>
    <n v="14"/>
    <x v="1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s v="No"/>
    <n v="18"/>
    <n v="3"/>
    <n v="3"/>
    <n v="80"/>
    <x v="1"/>
    <n v="9"/>
    <x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s v="No"/>
    <n v="13"/>
    <n v="3"/>
    <n v="4"/>
    <n v="80"/>
    <x v="0"/>
    <n v="8"/>
    <x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s v="No"/>
    <n v="12"/>
    <n v="3"/>
    <n v="1"/>
    <n v="80"/>
    <x v="1"/>
    <n v="6"/>
    <x v="3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s v="No"/>
    <n v="18"/>
    <n v="3"/>
    <n v="2"/>
    <n v="80"/>
    <x v="1"/>
    <n v="9"/>
    <x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s v="No"/>
    <n v="21"/>
    <n v="4"/>
    <n v="2"/>
    <n v="80"/>
    <x v="0"/>
    <n v="10"/>
    <x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s v="No"/>
    <n v="12"/>
    <n v="3"/>
    <n v="1"/>
    <n v="80"/>
    <x v="1"/>
    <n v="6"/>
    <x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s v="No"/>
    <n v="14"/>
    <n v="3"/>
    <n v="1"/>
    <n v="80"/>
    <x v="0"/>
    <n v="20"/>
    <x v="1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s v="Yes"/>
    <n v="11"/>
    <n v="3"/>
    <n v="4"/>
    <n v="80"/>
    <x v="0"/>
    <n v="10"/>
    <x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s v="No"/>
    <n v="14"/>
    <n v="3"/>
    <n v="1"/>
    <n v="80"/>
    <x v="0"/>
    <n v="7"/>
    <x v="3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s v="No"/>
    <n v="24"/>
    <n v="4"/>
    <n v="2"/>
    <n v="80"/>
    <x v="0"/>
    <n v="8"/>
    <x v="4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s v="Yes"/>
    <n v="11"/>
    <n v="3"/>
    <n v="3"/>
    <n v="80"/>
    <x v="0"/>
    <n v="10"/>
    <x v="5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s v="Yes"/>
    <n v="13"/>
    <n v="3"/>
    <n v="2"/>
    <n v="80"/>
    <x v="0"/>
    <n v="15"/>
    <x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s v="No"/>
    <n v="11"/>
    <n v="3"/>
    <n v="3"/>
    <n v="80"/>
    <x v="3"/>
    <n v="9"/>
    <x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s v="No"/>
    <n v="20"/>
    <n v="4"/>
    <n v="3"/>
    <n v="80"/>
    <x v="2"/>
    <n v="9"/>
    <x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s v="No"/>
    <n v="17"/>
    <n v="3"/>
    <n v="2"/>
    <n v="80"/>
    <x v="1"/>
    <n v="10"/>
    <x v="4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s v="Yes"/>
    <n v="11"/>
    <n v="3"/>
    <n v="2"/>
    <n v="80"/>
    <x v="1"/>
    <n v="7"/>
    <x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s v="Yes"/>
    <n v="18"/>
    <n v="3"/>
    <n v="1"/>
    <n v="80"/>
    <x v="1"/>
    <n v="35"/>
    <x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s v="Yes"/>
    <n v="11"/>
    <n v="3"/>
    <n v="3"/>
    <n v="80"/>
    <x v="2"/>
    <n v="1"/>
    <x v="5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s v="No"/>
    <n v="12"/>
    <n v="3"/>
    <n v="1"/>
    <n v="80"/>
    <x v="0"/>
    <n v="21"/>
    <x v="1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s v="No"/>
    <n v="12"/>
    <n v="3"/>
    <n v="4"/>
    <n v="80"/>
    <x v="0"/>
    <n v="20"/>
    <x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s v="No"/>
    <n v="20"/>
    <n v="4"/>
    <n v="3"/>
    <n v="80"/>
    <x v="1"/>
    <n v="13"/>
    <x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s v="Yes"/>
    <n v="19"/>
    <n v="3"/>
    <n v="4"/>
    <n v="80"/>
    <x v="0"/>
    <n v="9"/>
    <x v="1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s v="No"/>
    <n v="12"/>
    <n v="3"/>
    <n v="2"/>
    <n v="80"/>
    <x v="0"/>
    <n v="4"/>
    <x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s v="No"/>
    <n v="13"/>
    <n v="3"/>
    <n v="3"/>
    <n v="80"/>
    <x v="0"/>
    <n v="5"/>
    <x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s v="No"/>
    <n v="11"/>
    <n v="3"/>
    <n v="1"/>
    <n v="80"/>
    <x v="1"/>
    <n v="10"/>
    <x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s v="No"/>
    <n v="14"/>
    <n v="3"/>
    <n v="3"/>
    <n v="80"/>
    <x v="1"/>
    <n v="15"/>
    <x v="5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s v="No"/>
    <n v="14"/>
    <n v="3"/>
    <n v="3"/>
    <n v="80"/>
    <x v="0"/>
    <n v="6"/>
    <x v="1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s v="No"/>
    <n v="13"/>
    <n v="3"/>
    <n v="3"/>
    <n v="80"/>
    <x v="0"/>
    <n v="12"/>
    <x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s v="Yes"/>
    <n v="19"/>
    <n v="3"/>
    <n v="3"/>
    <n v="80"/>
    <x v="1"/>
    <n v="7"/>
    <x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s v="No"/>
    <n v="23"/>
    <n v="4"/>
    <n v="2"/>
    <n v="80"/>
    <x v="0"/>
    <n v="25"/>
    <x v="1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s v="No"/>
    <n v="12"/>
    <n v="3"/>
    <n v="3"/>
    <n v="80"/>
    <x v="2"/>
    <n v="1"/>
    <x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s v="No"/>
    <n v="15"/>
    <n v="3"/>
    <n v="1"/>
    <n v="80"/>
    <x v="3"/>
    <n v="16"/>
    <x v="1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s v="No"/>
    <n v="19"/>
    <n v="3"/>
    <n v="3"/>
    <n v="80"/>
    <x v="1"/>
    <n v="3"/>
    <x v="4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s v="No"/>
    <n v="11"/>
    <n v="3"/>
    <n v="4"/>
    <n v="80"/>
    <x v="1"/>
    <n v="10"/>
    <x v="4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s v="Yes"/>
    <n v="17"/>
    <n v="3"/>
    <n v="3"/>
    <n v="80"/>
    <x v="1"/>
    <n v="9"/>
    <x v="1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s v="No"/>
    <n v="22"/>
    <n v="4"/>
    <n v="1"/>
    <n v="80"/>
    <x v="1"/>
    <n v="12"/>
    <x v="1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s v="No"/>
    <n v="18"/>
    <n v="3"/>
    <n v="1"/>
    <n v="80"/>
    <x v="3"/>
    <n v="14"/>
    <x v="1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s v="Yes"/>
    <n v="11"/>
    <n v="3"/>
    <n v="3"/>
    <n v="80"/>
    <x v="1"/>
    <n v="5"/>
    <x v="1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s v="No"/>
    <n v="12"/>
    <n v="3"/>
    <n v="4"/>
    <n v="80"/>
    <x v="0"/>
    <n v="4"/>
    <x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s v="No"/>
    <n v="19"/>
    <n v="3"/>
    <n v="2"/>
    <n v="80"/>
    <x v="0"/>
    <n v="10"/>
    <x v="3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s v="Yes"/>
    <n v="13"/>
    <n v="3"/>
    <n v="1"/>
    <n v="80"/>
    <x v="1"/>
    <n v="10"/>
    <x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s v="No"/>
    <n v="13"/>
    <n v="3"/>
    <n v="3"/>
    <n v="80"/>
    <x v="0"/>
    <n v="6"/>
    <x v="1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s v="No"/>
    <n v="19"/>
    <n v="3"/>
    <n v="3"/>
    <n v="80"/>
    <x v="3"/>
    <n v="8"/>
    <x v="1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s v="No"/>
    <n v="14"/>
    <n v="3"/>
    <n v="2"/>
    <n v="80"/>
    <x v="1"/>
    <n v="3"/>
    <x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s v="No"/>
    <n v="13"/>
    <n v="3"/>
    <n v="1"/>
    <n v="80"/>
    <x v="0"/>
    <n v="18"/>
    <x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s v="No"/>
    <n v="12"/>
    <n v="3"/>
    <n v="1"/>
    <n v="80"/>
    <x v="1"/>
    <n v="20"/>
    <x v="1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s v="No"/>
    <n v="19"/>
    <n v="3"/>
    <n v="3"/>
    <n v="80"/>
    <x v="3"/>
    <n v="14"/>
    <x v="1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s v="Yes"/>
    <n v="25"/>
    <n v="4"/>
    <n v="1"/>
    <n v="80"/>
    <x v="1"/>
    <n v="16"/>
    <x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s v="Yes"/>
    <n v="22"/>
    <n v="4"/>
    <n v="2"/>
    <n v="80"/>
    <x v="1"/>
    <n v="6"/>
    <x v="1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s v="No"/>
    <n v="15"/>
    <n v="3"/>
    <n v="2"/>
    <n v="80"/>
    <x v="3"/>
    <n v="16"/>
    <x v="1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s v="Yes"/>
    <n v="12"/>
    <n v="3"/>
    <n v="3"/>
    <n v="80"/>
    <x v="0"/>
    <n v="6"/>
    <x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s v="Yes"/>
    <n v="11"/>
    <n v="3"/>
    <n v="4"/>
    <n v="80"/>
    <x v="0"/>
    <n v="2"/>
    <x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s v="No"/>
    <n v="13"/>
    <n v="3"/>
    <n v="3"/>
    <n v="80"/>
    <x v="0"/>
    <n v="21"/>
    <x v="1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s v="No"/>
    <n v="19"/>
    <n v="3"/>
    <n v="1"/>
    <n v="80"/>
    <x v="1"/>
    <n v="1"/>
    <x v="1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s v="No"/>
    <n v="19"/>
    <n v="3"/>
    <n v="3"/>
    <n v="80"/>
    <x v="3"/>
    <n v="10"/>
    <x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s v="No"/>
    <n v="13"/>
    <n v="3"/>
    <n v="2"/>
    <n v="80"/>
    <x v="2"/>
    <n v="18"/>
    <x v="1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s v="No"/>
    <n v="21"/>
    <n v="4"/>
    <n v="1"/>
    <n v="80"/>
    <x v="1"/>
    <n v="13"/>
    <x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s v="Yes"/>
    <n v="14"/>
    <n v="3"/>
    <n v="2"/>
    <n v="80"/>
    <x v="2"/>
    <n v="4"/>
    <x v="1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s v="No"/>
    <n v="11"/>
    <n v="3"/>
    <n v="1"/>
    <n v="80"/>
    <x v="0"/>
    <n v="24"/>
    <x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s v="No"/>
    <n v="11"/>
    <n v="3"/>
    <n v="4"/>
    <n v="80"/>
    <x v="1"/>
    <n v="14"/>
    <x v="5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s v="No"/>
    <n v="23"/>
    <n v="4"/>
    <n v="3"/>
    <n v="80"/>
    <x v="1"/>
    <n v="21"/>
    <x v="1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s v="No"/>
    <n v="21"/>
    <n v="4"/>
    <n v="4"/>
    <n v="80"/>
    <x v="3"/>
    <n v="8"/>
    <x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s v="No"/>
    <n v="24"/>
    <n v="4"/>
    <n v="1"/>
    <n v="80"/>
    <x v="1"/>
    <n v="15"/>
    <x v="5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s v="No"/>
    <n v="11"/>
    <n v="3"/>
    <n v="3"/>
    <n v="80"/>
    <x v="1"/>
    <n v="14"/>
    <x v="3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s v="No"/>
    <n v="14"/>
    <n v="3"/>
    <n v="4"/>
    <n v="80"/>
    <x v="0"/>
    <n v="4"/>
    <x v="5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s v="Yes"/>
    <n v="16"/>
    <n v="3"/>
    <n v="3"/>
    <n v="80"/>
    <x v="0"/>
    <n v="9"/>
    <x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s v="No"/>
    <n v="11"/>
    <n v="3"/>
    <n v="3"/>
    <n v="80"/>
    <x v="1"/>
    <n v="10"/>
    <x v="4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s v="No"/>
    <n v="12"/>
    <n v="3"/>
    <n v="4"/>
    <n v="80"/>
    <x v="3"/>
    <n v="12"/>
    <x v="1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s v="No"/>
    <n v="13"/>
    <n v="3"/>
    <n v="1"/>
    <n v="80"/>
    <x v="1"/>
    <n v="8"/>
    <x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s v="No"/>
    <n v="15"/>
    <n v="3"/>
    <n v="3"/>
    <n v="80"/>
    <x v="0"/>
    <n v="8"/>
    <x v="1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s v="No"/>
    <n v="14"/>
    <n v="3"/>
    <n v="4"/>
    <n v="80"/>
    <x v="0"/>
    <n v="8"/>
    <x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s v="Yes"/>
    <n v="14"/>
    <n v="3"/>
    <n v="4"/>
    <n v="80"/>
    <x v="3"/>
    <n v="10"/>
    <x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s v="No"/>
    <n v="14"/>
    <n v="3"/>
    <n v="2"/>
    <n v="80"/>
    <x v="2"/>
    <n v="20"/>
    <x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s v="No"/>
    <n v="12"/>
    <n v="3"/>
    <n v="4"/>
    <n v="80"/>
    <x v="1"/>
    <n v="4"/>
    <x v="3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s v="Yes"/>
    <n v="13"/>
    <n v="3"/>
    <n v="1"/>
    <n v="80"/>
    <x v="1"/>
    <n v="10"/>
    <x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s v="No"/>
    <n v="14"/>
    <n v="3"/>
    <n v="2"/>
    <n v="80"/>
    <x v="0"/>
    <n v="5"/>
    <x v="1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s v="Yes"/>
    <n v="13"/>
    <n v="3"/>
    <n v="2"/>
    <n v="80"/>
    <x v="1"/>
    <n v="20"/>
    <x v="1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s v="No"/>
    <n v="11"/>
    <n v="3"/>
    <n v="1"/>
    <n v="80"/>
    <x v="1"/>
    <n v="21"/>
    <x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s v="No"/>
    <n v="19"/>
    <n v="3"/>
    <n v="2"/>
    <n v="80"/>
    <x v="0"/>
    <n v="10"/>
    <x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s v="No"/>
    <n v="18"/>
    <n v="3"/>
    <n v="4"/>
    <n v="80"/>
    <x v="0"/>
    <n v="5"/>
    <x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s v="No"/>
    <n v="17"/>
    <n v="3"/>
    <n v="3"/>
    <n v="80"/>
    <x v="1"/>
    <n v="17"/>
    <x v="1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s v="No"/>
    <n v="15"/>
    <n v="3"/>
    <n v="1"/>
    <n v="80"/>
    <x v="1"/>
    <n v="9"/>
    <x v="3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s v="Yes"/>
    <n v="20"/>
    <n v="4"/>
    <n v="2"/>
    <n v="80"/>
    <x v="1"/>
    <n v="6"/>
    <x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s v="No"/>
    <n v="14"/>
    <n v="3"/>
    <n v="4"/>
    <n v="80"/>
    <x v="0"/>
    <n v="17"/>
    <x v="1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s v="No"/>
    <n v="12"/>
    <n v="3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72215-80A0-4658-88B2-FA912CA00487}" name="PivotTable13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chartFormats count="14">
    <chartFormat chart="0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1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16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16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792A1-D417-4CE5-8A91-1B6AA87F6F1A}" name="PivotTable1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337B2-BC22-47AC-BDCD-3D4240CFF8D7}" name="PivotTable1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G8" firstHeaderRow="1" firstDataRow="3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EmployeeCount" fld="8" baseField="0" baseItem="0"/>
    <dataField name="Count of Attrition" fld="1" subtotal="count" showDataAs="percentOfTotal" baseField="1" baseItem="0" numFmtId="1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1" count="1" selected="0">
            <x v="0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1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0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853F6-AF92-49DF-9F35-F157EEDD5C9A}" name="PivotTable20" cacheId="6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7:B30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JobSatisfaction" fld="16" subtotal="average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D6A59-AA99-4D37-8C53-BD564FD03D70}" name="PivotTable19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L23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tock Option Level" fld="8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4A272-AF8C-4461-9CCC-3CAC0BC478E0}" name="PivotTable18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L1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raining Time Last Year" fld="8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D4137-BBA0-454C-BF93-79C1C8C99294}" name="PivotTable17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D1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rital Status" fld="8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2C15E-DFEB-43B8-9985-159A48A360B2}" name="PivotTable16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Job Involvement" fld="8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57FB1-212F-4C02-BC6E-F5A8EEA3B158}" name="PivotTable2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T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Job Involvement" fld="8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BA6E7-6615-47D8-A036-CC383BE1F561}" name="PivotTable24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O1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raining Time Last Year" fld="8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A7C30-A920-4FCF-8841-8DEE13548FB5}" name="PivotTable23" cacheId="6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H6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JobSatisfaction" fld="16" subtotal="average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D6B40-CBC4-439E-B64C-B6E2B169B57B}" name="PivotTable2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H1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tock Option Level" fld="8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B7B6A-556E-4761-B426-0DEDA0EC3C35}" name="PivotTable2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rital Status" fld="8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F60264-7689-4708-84B7-18B67FE85D29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88E8D-4525-4BD9-8184-715746747404}" name="WA_Fn_UseC__HR_Employee_Attrition" displayName="WA_Fn_UseC__HR_Employee_Attrition" ref="A1:AI1471" tableType="queryTable" totalsRowShown="0">
  <autoFilter ref="A1:AI1471" xr:uid="{39888E8D-4525-4BD9-8184-715746747404}"/>
  <tableColumns count="35">
    <tableColumn id="1" xr3:uid="{77E688EE-FC99-4072-8649-A9FC15825CE6}" uniqueName="1" name="Age" queryTableFieldId="1"/>
    <tableColumn id="2" xr3:uid="{E3CF183E-0532-4822-9DA0-79BB83737E32}" uniqueName="2" name="Attrition" queryTableFieldId="2" dataDxfId="8"/>
    <tableColumn id="3" xr3:uid="{CEFAFFFB-DF8C-4BA0-826D-7B67CF08C15A}" uniqueName="3" name="BusinessTravel" queryTableFieldId="3" dataDxfId="7"/>
    <tableColumn id="4" xr3:uid="{770707FB-9D0D-44A7-A897-002C23B3034D}" uniqueName="4" name="DailyRate" queryTableFieldId="4"/>
    <tableColumn id="5" xr3:uid="{E16EEA15-6F4F-4F65-8832-DE4C8C1165DB}" uniqueName="5" name="Department" queryTableFieldId="5" dataDxfId="6"/>
    <tableColumn id="6" xr3:uid="{72F93634-6E65-4352-AE96-4F1536E23A7D}" uniqueName="6" name="DistanceFromHome" queryTableFieldId="6"/>
    <tableColumn id="7" xr3:uid="{6D9AC8BE-2C1D-400F-847E-CCF081B0BE0D}" uniqueName="7" name="Education" queryTableFieldId="7"/>
    <tableColumn id="8" xr3:uid="{00C533C9-0C68-49CD-BA88-EF0ACCF9FF47}" uniqueName="8" name="EducationField" queryTableFieldId="8" dataDxfId="5"/>
    <tableColumn id="9" xr3:uid="{EE30D0ED-7D82-4110-AB35-2B69E19C0057}" uniqueName="9" name="EmployeeCount" queryTableFieldId="9"/>
    <tableColumn id="10" xr3:uid="{28BB1D46-9E93-4AEB-8200-F008B1E57645}" uniqueName="10" name="EmployeeNumber" queryTableFieldId="10"/>
    <tableColumn id="11" xr3:uid="{BC5930E6-ED27-46BD-8970-8572C1663201}" uniqueName="11" name="EnvironmentSatisfaction" queryTableFieldId="11"/>
    <tableColumn id="12" xr3:uid="{6A3BEB32-5B1A-4283-A2ED-258ED89902DD}" uniqueName="12" name="Gender" queryTableFieldId="12" dataDxfId="4"/>
    <tableColumn id="13" xr3:uid="{23859DC6-16F2-4511-A13B-970B7A4D6B3C}" uniqueName="13" name="HourlyRate" queryTableFieldId="13"/>
    <tableColumn id="14" xr3:uid="{36FCE514-A780-4CE4-A96B-14186B3A7AF3}" uniqueName="14" name="JobInvolvement" queryTableFieldId="14"/>
    <tableColumn id="15" xr3:uid="{71075BB3-F4AD-4DFC-BF4E-5132AF8E9CAD}" uniqueName="15" name="JobLevel" queryTableFieldId="15"/>
    <tableColumn id="16" xr3:uid="{5078D4E4-07E8-44EB-B567-1E5B9295DCE2}" uniqueName="16" name="JobRole" queryTableFieldId="16" dataDxfId="3"/>
    <tableColumn id="17" xr3:uid="{8247F1D0-0F53-4AC3-B8D5-4F0D8B8617AC}" uniqueName="17" name="JobSatisfaction" queryTableFieldId="17"/>
    <tableColumn id="18" xr3:uid="{109E1FE3-67DD-42B6-9904-27E32CC105D2}" uniqueName="18" name="MaritalStatus" queryTableFieldId="18" dataDxfId="2"/>
    <tableColumn id="19" xr3:uid="{A7DD926F-E308-48D4-9098-E85DFDF7F6A8}" uniqueName="19" name="MonthlyIncome" queryTableFieldId="19"/>
    <tableColumn id="20" xr3:uid="{CFA617A6-C654-4119-AA82-F48CDC82BA41}" uniqueName="20" name="MonthlyRate" queryTableFieldId="20"/>
    <tableColumn id="21" xr3:uid="{4E34B73A-C8B3-4C09-9BDD-FD0177ABE1DB}" uniqueName="21" name="NumCompaniesWorked" queryTableFieldId="21"/>
    <tableColumn id="22" xr3:uid="{1D5387DE-B815-4161-B8DF-9F1E8659DE94}" uniqueName="22" name="Over18" queryTableFieldId="22" dataDxfId="1"/>
    <tableColumn id="23" xr3:uid="{97AE52CA-D2E1-46A6-B0ED-A93FC6FEFB5E}" uniqueName="23" name="OverTime" queryTableFieldId="23" dataDxfId="0"/>
    <tableColumn id="24" xr3:uid="{20D14188-4C2B-42BA-84F3-8FCBB04AE953}" uniqueName="24" name="PercentSalaryHike" queryTableFieldId="24"/>
    <tableColumn id="25" xr3:uid="{51C1BA63-C9BD-40DB-BB11-3992254E2A6F}" uniqueName="25" name="PerformanceRating" queryTableFieldId="25"/>
    <tableColumn id="26" xr3:uid="{A10244AD-6FCA-4A23-B3B2-8D28CC264ADC}" uniqueName="26" name="RelationshipSatisfaction" queryTableFieldId="26"/>
    <tableColumn id="27" xr3:uid="{73980848-1E5C-4126-A493-42E54079872D}" uniqueName="27" name="StandardHours" queryTableFieldId="27"/>
    <tableColumn id="28" xr3:uid="{199EE187-B990-4D3D-9BA9-CA44EEE2B811}" uniqueName="28" name="StockOptionLevel" queryTableFieldId="28"/>
    <tableColumn id="29" xr3:uid="{011F3C55-B2EA-4F42-A201-C3D7C8540E44}" uniqueName="29" name="TotalWorkingYears" queryTableFieldId="29"/>
    <tableColumn id="30" xr3:uid="{91D66C46-DB0B-40BB-996F-7BA147C3E97F}" uniqueName="30" name="TrainingTimesLastYear" queryTableFieldId="30"/>
    <tableColumn id="31" xr3:uid="{C2774CE3-E867-4C6B-B2D1-A73699E1B9E6}" uniqueName="31" name="WorkLifeBalance" queryTableFieldId="31"/>
    <tableColumn id="32" xr3:uid="{73170A03-1CA3-4276-8DA8-82B75C84BD2D}" uniqueName="32" name="YearsAtCompany" queryTableFieldId="32"/>
    <tableColumn id="33" xr3:uid="{5361AD36-5147-4517-893D-77A5B7494A4C}" uniqueName="33" name="YearsInCurrentRole" queryTableFieldId="33"/>
    <tableColumn id="34" xr3:uid="{DB9A158C-B9EE-4D59-9EB5-0FC7E7C6AC57}" uniqueName="34" name="YearsSinceLastPromotion" queryTableFieldId="34"/>
    <tableColumn id="35" xr3:uid="{DE286495-EACD-47CE-8F7F-DBAE0E6A792C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BA0B-522E-4DE8-94DC-625FD24028DB}">
  <dimension ref="A3:D8"/>
  <sheetViews>
    <sheetView topLeftCell="F1" workbookViewId="0">
      <selection activeCell="J5" sqref="J5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7.77734375" bestFit="1" customWidth="1"/>
    <col min="6" max="6" width="26" bestFit="1" customWidth="1"/>
    <col min="7" max="7" width="22.5546875" bestFit="1" customWidth="1"/>
  </cols>
  <sheetData>
    <row r="3" spans="1:4" x14ac:dyDescent="0.3">
      <c r="A3" s="2" t="s">
        <v>65</v>
      </c>
      <c r="B3" s="2" t="s">
        <v>64</v>
      </c>
    </row>
    <row r="4" spans="1:4" x14ac:dyDescent="0.3">
      <c r="A4" s="2" t="s">
        <v>62</v>
      </c>
      <c r="B4" t="s">
        <v>43</v>
      </c>
      <c r="C4" t="s">
        <v>35</v>
      </c>
      <c r="D4" t="s">
        <v>63</v>
      </c>
    </row>
    <row r="5" spans="1:4" x14ac:dyDescent="0.3">
      <c r="A5" s="3" t="s">
        <v>61</v>
      </c>
      <c r="B5" s="1">
        <v>51</v>
      </c>
      <c r="C5" s="1">
        <v>12</v>
      </c>
      <c r="D5" s="1">
        <v>63</v>
      </c>
    </row>
    <row r="6" spans="1:4" x14ac:dyDescent="0.3">
      <c r="A6" s="3" t="s">
        <v>45</v>
      </c>
      <c r="B6" s="1">
        <v>828</v>
      </c>
      <c r="C6" s="1">
        <v>133</v>
      </c>
      <c r="D6" s="1">
        <v>961</v>
      </c>
    </row>
    <row r="7" spans="1:4" x14ac:dyDescent="0.3">
      <c r="A7" s="3" t="s">
        <v>37</v>
      </c>
      <c r="B7" s="1">
        <v>354</v>
      </c>
      <c r="C7" s="1">
        <v>92</v>
      </c>
      <c r="D7" s="1">
        <v>446</v>
      </c>
    </row>
    <row r="8" spans="1:4" x14ac:dyDescent="0.3">
      <c r="A8" s="3" t="s">
        <v>63</v>
      </c>
      <c r="B8" s="1">
        <v>1233</v>
      </c>
      <c r="C8" s="1">
        <v>237</v>
      </c>
      <c r="D8" s="1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2340-FD17-447E-B270-DF2523E8EA2A}">
  <dimension ref="A3:B13"/>
  <sheetViews>
    <sheetView workbookViewId="0">
      <selection activeCell="C16" sqref="C16"/>
    </sheetView>
  </sheetViews>
  <sheetFormatPr defaultRowHeight="14.4" x14ac:dyDescent="0.3"/>
  <cols>
    <col min="1" max="1" width="22.88671875" bestFit="1" customWidth="1"/>
    <col min="2" max="2" width="23.5546875" bestFit="1" customWidth="1"/>
  </cols>
  <sheetData>
    <row r="3" spans="1:2" x14ac:dyDescent="0.3">
      <c r="A3" s="2" t="s">
        <v>62</v>
      </c>
      <c r="B3" t="s">
        <v>70</v>
      </c>
    </row>
    <row r="4" spans="1:2" x14ac:dyDescent="0.3">
      <c r="A4" s="3" t="s">
        <v>54</v>
      </c>
      <c r="B4" s="1">
        <v>2.7862595419847329</v>
      </c>
    </row>
    <row r="5" spans="1:2" x14ac:dyDescent="0.3">
      <c r="A5" s="3" t="s">
        <v>61</v>
      </c>
      <c r="B5" s="1">
        <v>2.5576923076923075</v>
      </c>
    </row>
    <row r="6" spans="1:2" x14ac:dyDescent="0.3">
      <c r="A6" s="3" t="s">
        <v>50</v>
      </c>
      <c r="B6" s="1">
        <v>2.6911196911196913</v>
      </c>
    </row>
    <row r="7" spans="1:2" x14ac:dyDescent="0.3">
      <c r="A7" s="3" t="s">
        <v>56</v>
      </c>
      <c r="B7" s="1">
        <v>2.7058823529411766</v>
      </c>
    </row>
    <row r="8" spans="1:2" x14ac:dyDescent="0.3">
      <c r="A8" s="3" t="s">
        <v>53</v>
      </c>
      <c r="B8" s="1">
        <v>2.682758620689655</v>
      </c>
    </row>
    <row r="9" spans="1:2" x14ac:dyDescent="0.3">
      <c r="A9" s="3" t="s">
        <v>58</v>
      </c>
      <c r="B9" s="1">
        <v>2.7</v>
      </c>
    </row>
    <row r="10" spans="1:2" x14ac:dyDescent="0.3">
      <c r="A10" s="3" t="s">
        <v>47</v>
      </c>
      <c r="B10" s="1">
        <v>2.7739726027397262</v>
      </c>
    </row>
    <row r="11" spans="1:2" x14ac:dyDescent="0.3">
      <c r="A11" s="3" t="s">
        <v>40</v>
      </c>
      <c r="B11" s="1">
        <v>2.7546012269938651</v>
      </c>
    </row>
    <row r="12" spans="1:2" x14ac:dyDescent="0.3">
      <c r="A12" s="3" t="s">
        <v>57</v>
      </c>
      <c r="B12" s="1">
        <v>2.7349397590361444</v>
      </c>
    </row>
    <row r="13" spans="1:2" x14ac:dyDescent="0.3">
      <c r="A13" s="3" t="s">
        <v>63</v>
      </c>
      <c r="B13" s="1">
        <v>2.7285714285714286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AB9E-9C4D-447A-ACD9-F28684A1CE8A}">
  <dimension ref="A3:G8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21.109375" bestFit="1" customWidth="1"/>
    <col min="3" max="3" width="15.88671875" bestFit="1" customWidth="1"/>
    <col min="4" max="4" width="21.109375" bestFit="1" customWidth="1"/>
    <col min="5" max="5" width="15.88671875" bestFit="1" customWidth="1"/>
    <col min="6" max="6" width="26" bestFit="1" customWidth="1"/>
    <col min="7" max="7" width="20.6640625" bestFit="1" customWidth="1"/>
  </cols>
  <sheetData>
    <row r="3" spans="1:7" x14ac:dyDescent="0.3">
      <c r="B3" s="2" t="s">
        <v>64</v>
      </c>
    </row>
    <row r="4" spans="1:7" x14ac:dyDescent="0.3">
      <c r="B4" t="s">
        <v>43</v>
      </c>
      <c r="D4" t="s">
        <v>35</v>
      </c>
      <c r="F4" t="s">
        <v>66</v>
      </c>
      <c r="G4" t="s">
        <v>67</v>
      </c>
    </row>
    <row r="5" spans="1:7" x14ac:dyDescent="0.3">
      <c r="A5" s="2" t="s">
        <v>62</v>
      </c>
      <c r="B5" t="s">
        <v>65</v>
      </c>
      <c r="C5" t="s">
        <v>68</v>
      </c>
      <c r="D5" t="s">
        <v>65</v>
      </c>
      <c r="E5" t="s">
        <v>68</v>
      </c>
    </row>
    <row r="6" spans="1:7" x14ac:dyDescent="0.3">
      <c r="A6" s="3" t="s">
        <v>39</v>
      </c>
      <c r="B6" s="1">
        <v>501</v>
      </c>
      <c r="C6" s="4">
        <v>0.34081632653061222</v>
      </c>
      <c r="D6" s="1">
        <v>87</v>
      </c>
      <c r="E6" s="4">
        <v>5.9183673469387757E-2</v>
      </c>
      <c r="F6" s="1">
        <v>588</v>
      </c>
      <c r="G6" s="4">
        <v>0.4</v>
      </c>
    </row>
    <row r="7" spans="1:7" x14ac:dyDescent="0.3">
      <c r="A7" s="3" t="s">
        <v>46</v>
      </c>
      <c r="B7" s="1">
        <v>732</v>
      </c>
      <c r="C7" s="4">
        <v>0.49795918367346936</v>
      </c>
      <c r="D7" s="1">
        <v>150</v>
      </c>
      <c r="E7" s="4">
        <v>0.10204081632653061</v>
      </c>
      <c r="F7" s="1">
        <v>882</v>
      </c>
      <c r="G7" s="4">
        <v>0.6</v>
      </c>
    </row>
    <row r="8" spans="1:7" x14ac:dyDescent="0.3">
      <c r="A8" s="3" t="s">
        <v>63</v>
      </c>
      <c r="B8" s="1">
        <v>1233</v>
      </c>
      <c r="C8" s="4">
        <v>0.83877551020408159</v>
      </c>
      <c r="D8" s="1">
        <v>237</v>
      </c>
      <c r="E8" s="4">
        <v>0.16122448979591836</v>
      </c>
      <c r="F8" s="1">
        <v>1470</v>
      </c>
      <c r="G8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EB4F-9869-474A-B47C-8C7D5D6FC727}">
  <dimension ref="A3:L30"/>
  <sheetViews>
    <sheetView workbookViewId="0">
      <selection activeCell="A3" sqref="A3:D9"/>
      <pivotSelection pane="bottomRight" showHeader="1" activeRow="2" previousRow="2" click="1" r:id="rId5">
        <pivotArea type="all" dataOnly="0" outline="0" fieldPosition="0"/>
      </pivotSelection>
    </sheetView>
  </sheetViews>
  <sheetFormatPr defaultRowHeight="14.4" x14ac:dyDescent="0.3"/>
  <cols>
    <col min="1" max="1" width="15.6640625" bestFit="1" customWidth="1"/>
    <col min="2" max="2" width="23.5546875" bestFit="1" customWidth="1"/>
    <col min="3" max="3" width="4" bestFit="1" customWidth="1"/>
    <col min="4" max="4" width="10.77734375" bestFit="1" customWidth="1"/>
    <col min="9" max="9" width="20.44140625" bestFit="1" customWidth="1"/>
    <col min="10" max="10" width="15.5546875" bestFit="1" customWidth="1"/>
    <col min="11" max="11" width="4" bestFit="1" customWidth="1"/>
    <col min="12" max="12" width="10.77734375" bestFit="1" customWidth="1"/>
  </cols>
  <sheetData>
    <row r="3" spans="1:12" x14ac:dyDescent="0.3">
      <c r="A3" s="2" t="s">
        <v>76</v>
      </c>
      <c r="B3" s="2" t="s">
        <v>64</v>
      </c>
      <c r="I3" s="2" t="s">
        <v>75</v>
      </c>
      <c r="J3" s="2" t="s">
        <v>64</v>
      </c>
    </row>
    <row r="4" spans="1:12" x14ac:dyDescent="0.3">
      <c r="A4" s="2" t="s">
        <v>62</v>
      </c>
      <c r="B4" t="s">
        <v>43</v>
      </c>
      <c r="C4" t="s">
        <v>35</v>
      </c>
      <c r="D4" t="s">
        <v>63</v>
      </c>
      <c r="I4" s="2" t="s">
        <v>62</v>
      </c>
      <c r="J4" t="s">
        <v>43</v>
      </c>
      <c r="K4" t="s">
        <v>35</v>
      </c>
      <c r="L4" t="s">
        <v>63</v>
      </c>
    </row>
    <row r="5" spans="1:12" x14ac:dyDescent="0.3">
      <c r="A5" s="3">
        <v>1</v>
      </c>
      <c r="B5" s="1">
        <v>55</v>
      </c>
      <c r="C5" s="1">
        <v>28</v>
      </c>
      <c r="D5" s="1">
        <v>83</v>
      </c>
      <c r="I5" s="3">
        <v>0</v>
      </c>
      <c r="J5" s="1">
        <v>39</v>
      </c>
      <c r="K5" s="1">
        <v>15</v>
      </c>
      <c r="L5" s="1">
        <v>54</v>
      </c>
    </row>
    <row r="6" spans="1:12" x14ac:dyDescent="0.3">
      <c r="A6" s="3">
        <v>2</v>
      </c>
      <c r="B6" s="1">
        <v>304</v>
      </c>
      <c r="C6" s="1">
        <v>71</v>
      </c>
      <c r="D6" s="1">
        <v>375</v>
      </c>
      <c r="I6" s="3">
        <v>1</v>
      </c>
      <c r="J6" s="1">
        <v>62</v>
      </c>
      <c r="K6" s="1">
        <v>9</v>
      </c>
      <c r="L6" s="1">
        <v>71</v>
      </c>
    </row>
    <row r="7" spans="1:12" x14ac:dyDescent="0.3">
      <c r="A7" s="3">
        <v>3</v>
      </c>
      <c r="B7" s="1">
        <v>743</v>
      </c>
      <c r="C7" s="1">
        <v>125</v>
      </c>
      <c r="D7" s="1">
        <v>868</v>
      </c>
      <c r="I7" s="3">
        <v>2</v>
      </c>
      <c r="J7" s="1">
        <v>449</v>
      </c>
      <c r="K7" s="1">
        <v>98</v>
      </c>
      <c r="L7" s="1">
        <v>547</v>
      </c>
    </row>
    <row r="8" spans="1:12" x14ac:dyDescent="0.3">
      <c r="A8" s="3">
        <v>4</v>
      </c>
      <c r="B8" s="1">
        <v>131</v>
      </c>
      <c r="C8" s="1">
        <v>13</v>
      </c>
      <c r="D8" s="1">
        <v>144</v>
      </c>
      <c r="I8" s="3">
        <v>3</v>
      </c>
      <c r="J8" s="1">
        <v>422</v>
      </c>
      <c r="K8" s="1">
        <v>69</v>
      </c>
      <c r="L8" s="1">
        <v>491</v>
      </c>
    </row>
    <row r="9" spans="1:12" x14ac:dyDescent="0.3">
      <c r="A9" s="3" t="s">
        <v>63</v>
      </c>
      <c r="B9" s="1">
        <v>1233</v>
      </c>
      <c r="C9" s="1">
        <v>237</v>
      </c>
      <c r="D9" s="1">
        <v>1470</v>
      </c>
      <c r="I9" s="3">
        <v>4</v>
      </c>
      <c r="J9" s="1">
        <v>97</v>
      </c>
      <c r="K9" s="1">
        <v>26</v>
      </c>
      <c r="L9" s="1">
        <v>123</v>
      </c>
    </row>
    <row r="10" spans="1:12" x14ac:dyDescent="0.3">
      <c r="I10" s="3">
        <v>5</v>
      </c>
      <c r="J10" s="1">
        <v>105</v>
      </c>
      <c r="K10" s="1">
        <v>14</v>
      </c>
      <c r="L10" s="1">
        <v>119</v>
      </c>
    </row>
    <row r="11" spans="1:12" x14ac:dyDescent="0.3">
      <c r="I11" s="3">
        <v>6</v>
      </c>
      <c r="J11" s="1">
        <v>59</v>
      </c>
      <c r="K11" s="1">
        <v>6</v>
      </c>
      <c r="L11" s="1">
        <v>65</v>
      </c>
    </row>
    <row r="12" spans="1:12" x14ac:dyDescent="0.3">
      <c r="I12" s="3" t="s">
        <v>63</v>
      </c>
      <c r="J12" s="1">
        <v>1233</v>
      </c>
      <c r="K12" s="1">
        <v>237</v>
      </c>
      <c r="L12" s="1">
        <v>1470</v>
      </c>
    </row>
    <row r="14" spans="1:12" x14ac:dyDescent="0.3">
      <c r="A14" s="2" t="s">
        <v>77</v>
      </c>
      <c r="B14" s="2" t="s">
        <v>64</v>
      </c>
    </row>
    <row r="15" spans="1:12" x14ac:dyDescent="0.3">
      <c r="A15" s="2" t="s">
        <v>62</v>
      </c>
      <c r="B15" t="s">
        <v>43</v>
      </c>
      <c r="C15" t="s">
        <v>35</v>
      </c>
      <c r="D15" t="s">
        <v>63</v>
      </c>
    </row>
    <row r="16" spans="1:12" x14ac:dyDescent="0.3">
      <c r="A16" s="3" t="s">
        <v>52</v>
      </c>
      <c r="B16" s="1">
        <v>294</v>
      </c>
      <c r="C16" s="1">
        <v>33</v>
      </c>
      <c r="D16" s="1">
        <v>327</v>
      </c>
    </row>
    <row r="17" spans="1:12" x14ac:dyDescent="0.3">
      <c r="A17" s="3" t="s">
        <v>48</v>
      </c>
      <c r="B17" s="1">
        <v>589</v>
      </c>
      <c r="C17" s="1">
        <v>84</v>
      </c>
      <c r="D17" s="1">
        <v>673</v>
      </c>
      <c r="I17" s="2" t="s">
        <v>74</v>
      </c>
      <c r="J17" s="2" t="s">
        <v>64</v>
      </c>
    </row>
    <row r="18" spans="1:12" x14ac:dyDescent="0.3">
      <c r="A18" s="3" t="s">
        <v>41</v>
      </c>
      <c r="B18" s="1">
        <v>350</v>
      </c>
      <c r="C18" s="1">
        <v>120</v>
      </c>
      <c r="D18" s="1">
        <v>470</v>
      </c>
      <c r="I18" s="2" t="s">
        <v>62</v>
      </c>
      <c r="J18" t="s">
        <v>43</v>
      </c>
      <c r="K18" t="s">
        <v>35</v>
      </c>
      <c r="L18" t="s">
        <v>63</v>
      </c>
    </row>
    <row r="19" spans="1:12" x14ac:dyDescent="0.3">
      <c r="A19" s="3" t="s">
        <v>63</v>
      </c>
      <c r="B19" s="1">
        <v>1233</v>
      </c>
      <c r="C19" s="1">
        <v>237</v>
      </c>
      <c r="D19" s="1">
        <v>1470</v>
      </c>
      <c r="I19" s="3">
        <v>0</v>
      </c>
      <c r="J19" s="1">
        <v>477</v>
      </c>
      <c r="K19" s="1">
        <v>154</v>
      </c>
      <c r="L19" s="1">
        <v>631</v>
      </c>
    </row>
    <row r="20" spans="1:12" x14ac:dyDescent="0.3">
      <c r="I20" s="3">
        <v>1</v>
      </c>
      <c r="J20" s="1">
        <v>540</v>
      </c>
      <c r="K20" s="1">
        <v>56</v>
      </c>
      <c r="L20" s="1">
        <v>596</v>
      </c>
    </row>
    <row r="21" spans="1:12" x14ac:dyDescent="0.3">
      <c r="I21" s="3">
        <v>2</v>
      </c>
      <c r="J21" s="1">
        <v>146</v>
      </c>
      <c r="K21" s="1">
        <v>12</v>
      </c>
      <c r="L21" s="1">
        <v>158</v>
      </c>
    </row>
    <row r="22" spans="1:12" x14ac:dyDescent="0.3">
      <c r="I22" s="3">
        <v>3</v>
      </c>
      <c r="J22" s="1">
        <v>70</v>
      </c>
      <c r="K22" s="1">
        <v>15</v>
      </c>
      <c r="L22" s="1">
        <v>85</v>
      </c>
    </row>
    <row r="23" spans="1:12" x14ac:dyDescent="0.3">
      <c r="I23" s="3" t="s">
        <v>63</v>
      </c>
      <c r="J23" s="1">
        <v>1233</v>
      </c>
      <c r="K23" s="1">
        <v>237</v>
      </c>
      <c r="L23" s="1">
        <v>1470</v>
      </c>
    </row>
    <row r="27" spans="1:12" x14ac:dyDescent="0.3">
      <c r="A27" s="2" t="s">
        <v>62</v>
      </c>
      <c r="B27" t="s">
        <v>70</v>
      </c>
    </row>
    <row r="28" spans="1:12" x14ac:dyDescent="0.3">
      <c r="A28" s="3" t="s">
        <v>55</v>
      </c>
      <c r="B28" s="4">
        <v>1.0237347294938919</v>
      </c>
    </row>
    <row r="29" spans="1:12" x14ac:dyDescent="0.3">
      <c r="A29" s="3" t="s">
        <v>44</v>
      </c>
      <c r="B29" s="4">
        <v>1.0227380119832914</v>
      </c>
    </row>
    <row r="30" spans="1:12" x14ac:dyDescent="0.3">
      <c r="A30" s="3" t="s">
        <v>36</v>
      </c>
      <c r="B30" s="4">
        <v>0.99054780561509537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911E-A16B-402D-B546-17106CF8E5A0}">
  <dimension ref="A1:AK1471"/>
  <sheetViews>
    <sheetView topLeftCell="AC1" workbookViewId="0">
      <selection activeCell="AF2" sqref="AF2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9.21875" bestFit="1" customWidth="1"/>
    <col min="23" max="23" width="11.33203125" bestFit="1" customWidth="1"/>
    <col min="24" max="24" width="18.5546875" bestFit="1" customWidth="1"/>
    <col min="25" max="25" width="19.6640625" bestFit="1" customWidth="1"/>
    <col min="26" max="26" width="23.6640625" bestFit="1" customWidth="1"/>
    <col min="27" max="27" width="15.88671875" bestFit="1" customWidth="1"/>
    <col min="28" max="28" width="18.109375" bestFit="1" customWidth="1"/>
    <col min="29" max="29" width="19.109375" bestFit="1" customWidth="1"/>
    <col min="30" max="30" width="22.109375" bestFit="1" customWidth="1"/>
    <col min="31" max="31" width="17.44140625" bestFit="1" customWidth="1"/>
    <col min="32" max="32" width="17.77734375" bestFit="1" customWidth="1"/>
    <col min="33" max="33" width="19.5546875" bestFit="1" customWidth="1"/>
    <col min="34" max="34" width="24.77734375" bestFit="1" customWidth="1"/>
    <col min="35" max="35" width="23" bestFit="1" customWidth="1"/>
    <col min="37" max="37" width="15.664062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K1" t="s">
        <v>78</v>
      </c>
    </row>
    <row r="2" spans="1:37" x14ac:dyDescent="0.3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K2">
        <f>IF(B2="Yes",1,0)</f>
        <v>1</v>
      </c>
    </row>
    <row r="3" spans="1:37" x14ac:dyDescent="0.3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>
        <f t="shared" ref="AK3:AK66" si="0">IF(B3="Yes",1,0)</f>
        <v>0</v>
      </c>
    </row>
    <row r="4" spans="1:37" x14ac:dyDescent="0.3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>
        <f t="shared" si="0"/>
        <v>1</v>
      </c>
    </row>
    <row r="5" spans="1:37" x14ac:dyDescent="0.3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>
        <f t="shared" si="0"/>
        <v>0</v>
      </c>
    </row>
    <row r="6" spans="1:37" x14ac:dyDescent="0.3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>
        <f t="shared" si="0"/>
        <v>0</v>
      </c>
    </row>
    <row r="7" spans="1:37" x14ac:dyDescent="0.3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>
        <f t="shared" si="0"/>
        <v>0</v>
      </c>
    </row>
    <row r="8" spans="1:37" x14ac:dyDescent="0.3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>
        <f t="shared" si="0"/>
        <v>0</v>
      </c>
    </row>
    <row r="9" spans="1:37" x14ac:dyDescent="0.3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>
        <f t="shared" si="0"/>
        <v>0</v>
      </c>
    </row>
    <row r="10" spans="1:37" x14ac:dyDescent="0.3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>
        <f t="shared" si="0"/>
        <v>0</v>
      </c>
    </row>
    <row r="11" spans="1:37" x14ac:dyDescent="0.3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>
        <f t="shared" si="0"/>
        <v>0</v>
      </c>
    </row>
    <row r="12" spans="1:37" x14ac:dyDescent="0.3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>
        <f t="shared" si="0"/>
        <v>0</v>
      </c>
    </row>
    <row r="13" spans="1:37" x14ac:dyDescent="0.3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>
        <f t="shared" si="0"/>
        <v>0</v>
      </c>
    </row>
    <row r="14" spans="1:37" x14ac:dyDescent="0.3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>
        <f t="shared" si="0"/>
        <v>0</v>
      </c>
    </row>
    <row r="15" spans="1:37" x14ac:dyDescent="0.3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>
        <f t="shared" si="0"/>
        <v>0</v>
      </c>
    </row>
    <row r="16" spans="1:37" x14ac:dyDescent="0.3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>
        <f t="shared" si="0"/>
        <v>1</v>
      </c>
    </row>
    <row r="17" spans="1:37" x14ac:dyDescent="0.3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>
        <f t="shared" si="0"/>
        <v>0</v>
      </c>
    </row>
    <row r="18" spans="1:37" x14ac:dyDescent="0.3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>
        <f t="shared" si="0"/>
        <v>0</v>
      </c>
    </row>
    <row r="19" spans="1:37" x14ac:dyDescent="0.3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>
        <f t="shared" si="0"/>
        <v>0</v>
      </c>
    </row>
    <row r="20" spans="1:37" x14ac:dyDescent="0.3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>
        <f t="shared" si="0"/>
        <v>0</v>
      </c>
    </row>
    <row r="21" spans="1:37" x14ac:dyDescent="0.3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>
        <f t="shared" si="0"/>
        <v>0</v>
      </c>
    </row>
    <row r="22" spans="1:37" x14ac:dyDescent="0.3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>
        <f t="shared" si="0"/>
        <v>0</v>
      </c>
    </row>
    <row r="23" spans="1:37" x14ac:dyDescent="0.3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>
        <f t="shared" si="0"/>
        <v>1</v>
      </c>
    </row>
    <row r="24" spans="1:37" x14ac:dyDescent="0.3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>
        <f t="shared" si="0"/>
        <v>0</v>
      </c>
    </row>
    <row r="25" spans="1:37" x14ac:dyDescent="0.3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>
        <f t="shared" si="0"/>
        <v>0</v>
      </c>
    </row>
    <row r="26" spans="1:37" x14ac:dyDescent="0.3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>
        <f t="shared" si="0"/>
        <v>1</v>
      </c>
    </row>
    <row r="27" spans="1:37" x14ac:dyDescent="0.3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>
        <f t="shared" si="0"/>
        <v>0</v>
      </c>
    </row>
    <row r="28" spans="1:37" x14ac:dyDescent="0.3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>
        <f t="shared" si="0"/>
        <v>1</v>
      </c>
    </row>
    <row r="29" spans="1:37" x14ac:dyDescent="0.3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>
        <f t="shared" si="0"/>
        <v>0</v>
      </c>
    </row>
    <row r="30" spans="1:37" x14ac:dyDescent="0.3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>
        <f t="shared" si="0"/>
        <v>0</v>
      </c>
    </row>
    <row r="31" spans="1:37" x14ac:dyDescent="0.3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>
        <f t="shared" si="0"/>
        <v>0</v>
      </c>
    </row>
    <row r="32" spans="1:37" x14ac:dyDescent="0.3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>
        <f t="shared" si="0"/>
        <v>0</v>
      </c>
    </row>
    <row r="33" spans="1:37" x14ac:dyDescent="0.3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>
        <f t="shared" si="0"/>
        <v>0</v>
      </c>
    </row>
    <row r="34" spans="1:37" x14ac:dyDescent="0.3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>
        <f t="shared" si="0"/>
        <v>0</v>
      </c>
    </row>
    <row r="35" spans="1:37" x14ac:dyDescent="0.3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>
        <f t="shared" si="0"/>
        <v>1</v>
      </c>
    </row>
    <row r="36" spans="1:37" x14ac:dyDescent="0.3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>
        <f t="shared" si="0"/>
        <v>1</v>
      </c>
    </row>
    <row r="37" spans="1:37" x14ac:dyDescent="0.3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>
        <f t="shared" si="0"/>
        <v>0</v>
      </c>
    </row>
    <row r="38" spans="1:37" x14ac:dyDescent="0.3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>
        <f t="shared" si="0"/>
        <v>1</v>
      </c>
    </row>
    <row r="39" spans="1:37" x14ac:dyDescent="0.3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>
        <f t="shared" si="0"/>
        <v>0</v>
      </c>
    </row>
    <row r="40" spans="1:37" x14ac:dyDescent="0.3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>
        <f t="shared" si="0"/>
        <v>0</v>
      </c>
    </row>
    <row r="41" spans="1:37" x14ac:dyDescent="0.3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>
        <f t="shared" si="0"/>
        <v>0</v>
      </c>
    </row>
    <row r="42" spans="1:37" x14ac:dyDescent="0.3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>
        <f t="shared" si="0"/>
        <v>0</v>
      </c>
    </row>
    <row r="43" spans="1:37" x14ac:dyDescent="0.3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>
        <f t="shared" si="0"/>
        <v>0</v>
      </c>
    </row>
    <row r="44" spans="1:37" x14ac:dyDescent="0.3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>
        <f t="shared" si="0"/>
        <v>1</v>
      </c>
    </row>
    <row r="45" spans="1:37" x14ac:dyDescent="0.3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>
        <f t="shared" si="0"/>
        <v>0</v>
      </c>
    </row>
    <row r="46" spans="1:37" x14ac:dyDescent="0.3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>
        <f t="shared" si="0"/>
        <v>0</v>
      </c>
    </row>
    <row r="47" spans="1:37" x14ac:dyDescent="0.3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>
        <f t="shared" si="0"/>
        <v>1</v>
      </c>
    </row>
    <row r="48" spans="1:37" x14ac:dyDescent="0.3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>
        <f t="shared" si="0"/>
        <v>0</v>
      </c>
    </row>
    <row r="49" spans="1:37" x14ac:dyDescent="0.3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>
        <f t="shared" si="0"/>
        <v>0</v>
      </c>
    </row>
    <row r="50" spans="1:37" x14ac:dyDescent="0.3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>
        <f t="shared" si="0"/>
        <v>0</v>
      </c>
    </row>
    <row r="51" spans="1:37" x14ac:dyDescent="0.3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>
        <f t="shared" si="0"/>
        <v>0</v>
      </c>
    </row>
    <row r="52" spans="1:37" x14ac:dyDescent="0.3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>
        <f t="shared" si="0"/>
        <v>1</v>
      </c>
    </row>
    <row r="53" spans="1:37" x14ac:dyDescent="0.3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>
        <f t="shared" si="0"/>
        <v>1</v>
      </c>
    </row>
    <row r="54" spans="1:37" x14ac:dyDescent="0.3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>
        <f t="shared" si="0"/>
        <v>0</v>
      </c>
    </row>
    <row r="55" spans="1:37" x14ac:dyDescent="0.3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>
        <f t="shared" si="0"/>
        <v>0</v>
      </c>
    </row>
    <row r="56" spans="1:37" x14ac:dyDescent="0.3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>
        <f t="shared" si="0"/>
        <v>0</v>
      </c>
    </row>
    <row r="57" spans="1:37" x14ac:dyDescent="0.3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>
        <f t="shared" si="0"/>
        <v>0</v>
      </c>
    </row>
    <row r="58" spans="1:37" x14ac:dyDescent="0.3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>
        <f t="shared" si="0"/>
        <v>0</v>
      </c>
    </row>
    <row r="59" spans="1:37" x14ac:dyDescent="0.3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>
        <f t="shared" si="0"/>
        <v>0</v>
      </c>
    </row>
    <row r="60" spans="1:37" x14ac:dyDescent="0.3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>
        <f t="shared" si="0"/>
        <v>0</v>
      </c>
    </row>
    <row r="61" spans="1:37" x14ac:dyDescent="0.3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>
        <f t="shared" si="0"/>
        <v>0</v>
      </c>
    </row>
    <row r="62" spans="1:37" x14ac:dyDescent="0.3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>
        <f t="shared" si="0"/>
        <v>0</v>
      </c>
    </row>
    <row r="63" spans="1:37" x14ac:dyDescent="0.3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>
        <f t="shared" si="0"/>
        <v>0</v>
      </c>
    </row>
    <row r="64" spans="1:37" x14ac:dyDescent="0.3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>
        <f t="shared" si="0"/>
        <v>0</v>
      </c>
    </row>
    <row r="65" spans="1:37" x14ac:dyDescent="0.3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>
        <f t="shared" si="0"/>
        <v>0</v>
      </c>
    </row>
    <row r="66" spans="1:37" x14ac:dyDescent="0.3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>
        <f t="shared" si="0"/>
        <v>0</v>
      </c>
    </row>
    <row r="67" spans="1:37" x14ac:dyDescent="0.3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>
        <f t="shared" ref="AK67:AK130" si="1">IF(B67="Yes",1,0)</f>
        <v>0</v>
      </c>
    </row>
    <row r="68" spans="1:37" x14ac:dyDescent="0.3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>
        <f t="shared" si="1"/>
        <v>0</v>
      </c>
    </row>
    <row r="69" spans="1:37" x14ac:dyDescent="0.3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>
        <f t="shared" si="1"/>
        <v>0</v>
      </c>
    </row>
    <row r="70" spans="1:37" x14ac:dyDescent="0.3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>
        <f t="shared" si="1"/>
        <v>0</v>
      </c>
    </row>
    <row r="71" spans="1:37" x14ac:dyDescent="0.3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>
        <f t="shared" si="1"/>
        <v>1</v>
      </c>
    </row>
    <row r="72" spans="1:37" x14ac:dyDescent="0.3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>
        <f t="shared" si="1"/>
        <v>0</v>
      </c>
    </row>
    <row r="73" spans="1:37" x14ac:dyDescent="0.3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>
        <f t="shared" si="1"/>
        <v>0</v>
      </c>
    </row>
    <row r="74" spans="1:37" x14ac:dyDescent="0.3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>
        <f t="shared" si="1"/>
        <v>0</v>
      </c>
    </row>
    <row r="75" spans="1:37" x14ac:dyDescent="0.3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>
        <f t="shared" si="1"/>
        <v>0</v>
      </c>
    </row>
    <row r="76" spans="1:37" x14ac:dyDescent="0.3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>
        <f t="shared" si="1"/>
        <v>0</v>
      </c>
    </row>
    <row r="77" spans="1:37" x14ac:dyDescent="0.3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>
        <f t="shared" si="1"/>
        <v>0</v>
      </c>
    </row>
    <row r="78" spans="1:37" x14ac:dyDescent="0.3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>
        <f t="shared" si="1"/>
        <v>0</v>
      </c>
    </row>
    <row r="79" spans="1:37" x14ac:dyDescent="0.3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>
        <f t="shared" si="1"/>
        <v>0</v>
      </c>
    </row>
    <row r="80" spans="1:37" x14ac:dyDescent="0.3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>
        <f t="shared" si="1"/>
        <v>0</v>
      </c>
    </row>
    <row r="81" spans="1:37" x14ac:dyDescent="0.3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>
        <f t="shared" si="1"/>
        <v>0</v>
      </c>
    </row>
    <row r="82" spans="1:37" x14ac:dyDescent="0.3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>
        <f t="shared" si="1"/>
        <v>0</v>
      </c>
    </row>
    <row r="83" spans="1:37" x14ac:dyDescent="0.3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>
        <f t="shared" si="1"/>
        <v>0</v>
      </c>
    </row>
    <row r="84" spans="1:37" x14ac:dyDescent="0.3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>
        <f t="shared" si="1"/>
        <v>0</v>
      </c>
    </row>
    <row r="85" spans="1:37" x14ac:dyDescent="0.3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>
        <f t="shared" si="1"/>
        <v>0</v>
      </c>
    </row>
    <row r="86" spans="1:37" x14ac:dyDescent="0.3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>
        <f t="shared" si="1"/>
        <v>0</v>
      </c>
    </row>
    <row r="87" spans="1:37" x14ac:dyDescent="0.3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>
        <f t="shared" si="1"/>
        <v>0</v>
      </c>
    </row>
    <row r="88" spans="1:37" x14ac:dyDescent="0.3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>
        <f t="shared" si="1"/>
        <v>0</v>
      </c>
    </row>
    <row r="89" spans="1:37" x14ac:dyDescent="0.3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>
        <f t="shared" si="1"/>
        <v>0</v>
      </c>
    </row>
    <row r="90" spans="1:37" x14ac:dyDescent="0.3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>
        <f t="shared" si="1"/>
        <v>0</v>
      </c>
    </row>
    <row r="91" spans="1:37" x14ac:dyDescent="0.3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>
        <f t="shared" si="1"/>
        <v>1</v>
      </c>
    </row>
    <row r="92" spans="1:37" x14ac:dyDescent="0.3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>
        <f t="shared" si="1"/>
        <v>0</v>
      </c>
    </row>
    <row r="93" spans="1:37" x14ac:dyDescent="0.3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>
        <f t="shared" si="1"/>
        <v>0</v>
      </c>
    </row>
    <row r="94" spans="1:37" x14ac:dyDescent="0.3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>
        <f t="shared" si="1"/>
        <v>0</v>
      </c>
    </row>
    <row r="95" spans="1:37" x14ac:dyDescent="0.3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>
        <f t="shared" si="1"/>
        <v>0</v>
      </c>
    </row>
    <row r="96" spans="1:37" x14ac:dyDescent="0.3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>
        <f t="shared" si="1"/>
        <v>0</v>
      </c>
    </row>
    <row r="97" spans="1:37" x14ac:dyDescent="0.3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>
        <f t="shared" si="1"/>
        <v>0</v>
      </c>
    </row>
    <row r="98" spans="1:37" x14ac:dyDescent="0.3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>
        <f t="shared" si="1"/>
        <v>0</v>
      </c>
    </row>
    <row r="99" spans="1:37" x14ac:dyDescent="0.3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>
        <f t="shared" si="1"/>
        <v>0</v>
      </c>
    </row>
    <row r="100" spans="1:37" x14ac:dyDescent="0.3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>
        <f t="shared" si="1"/>
        <v>0</v>
      </c>
    </row>
    <row r="101" spans="1:37" x14ac:dyDescent="0.3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>
        <f t="shared" si="1"/>
        <v>0</v>
      </c>
    </row>
    <row r="102" spans="1:37" x14ac:dyDescent="0.3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>
        <f t="shared" si="1"/>
        <v>1</v>
      </c>
    </row>
    <row r="103" spans="1:37" x14ac:dyDescent="0.3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>
        <f t="shared" si="1"/>
        <v>0</v>
      </c>
    </row>
    <row r="104" spans="1:37" x14ac:dyDescent="0.3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>
        <f t="shared" si="1"/>
        <v>1</v>
      </c>
    </row>
    <row r="105" spans="1:37" x14ac:dyDescent="0.3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>
        <f t="shared" si="1"/>
        <v>0</v>
      </c>
    </row>
    <row r="106" spans="1:37" x14ac:dyDescent="0.3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>
        <f t="shared" si="1"/>
        <v>0</v>
      </c>
    </row>
    <row r="107" spans="1:37" x14ac:dyDescent="0.3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>
        <f t="shared" si="1"/>
        <v>0</v>
      </c>
    </row>
    <row r="108" spans="1:37" x14ac:dyDescent="0.3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>
        <f t="shared" si="1"/>
        <v>0</v>
      </c>
    </row>
    <row r="109" spans="1:37" x14ac:dyDescent="0.3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>
        <f t="shared" si="1"/>
        <v>1</v>
      </c>
    </row>
    <row r="110" spans="1:37" x14ac:dyDescent="0.3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>
        <f t="shared" si="1"/>
        <v>0</v>
      </c>
    </row>
    <row r="111" spans="1:37" x14ac:dyDescent="0.3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>
        <f t="shared" si="1"/>
        <v>0</v>
      </c>
    </row>
    <row r="112" spans="1:37" x14ac:dyDescent="0.3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>
        <f t="shared" si="1"/>
        <v>0</v>
      </c>
    </row>
    <row r="113" spans="1:37" x14ac:dyDescent="0.3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>
        <f t="shared" si="1"/>
        <v>1</v>
      </c>
    </row>
    <row r="114" spans="1:37" x14ac:dyDescent="0.3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>
        <f t="shared" si="1"/>
        <v>0</v>
      </c>
    </row>
    <row r="115" spans="1:37" x14ac:dyDescent="0.3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>
        <f t="shared" si="1"/>
        <v>0</v>
      </c>
    </row>
    <row r="116" spans="1:37" x14ac:dyDescent="0.3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>
        <f t="shared" si="1"/>
        <v>0</v>
      </c>
    </row>
    <row r="117" spans="1:37" x14ac:dyDescent="0.3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>
        <f t="shared" si="1"/>
        <v>0</v>
      </c>
    </row>
    <row r="118" spans="1:37" x14ac:dyDescent="0.3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>
        <f t="shared" si="1"/>
        <v>0</v>
      </c>
    </row>
    <row r="119" spans="1:37" x14ac:dyDescent="0.3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>
        <f t="shared" si="1"/>
        <v>0</v>
      </c>
    </row>
    <row r="120" spans="1:37" x14ac:dyDescent="0.3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>
        <f t="shared" si="1"/>
        <v>0</v>
      </c>
    </row>
    <row r="121" spans="1:37" x14ac:dyDescent="0.3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>
        <f t="shared" si="1"/>
        <v>0</v>
      </c>
    </row>
    <row r="122" spans="1:37" x14ac:dyDescent="0.3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>
        <f t="shared" si="1"/>
        <v>0</v>
      </c>
    </row>
    <row r="123" spans="1:37" x14ac:dyDescent="0.3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>
        <f t="shared" si="1"/>
        <v>0</v>
      </c>
    </row>
    <row r="124" spans="1:37" x14ac:dyDescent="0.3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>
        <f t="shared" si="1"/>
        <v>1</v>
      </c>
    </row>
    <row r="125" spans="1:37" x14ac:dyDescent="0.3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>
        <f t="shared" si="1"/>
        <v>0</v>
      </c>
    </row>
    <row r="126" spans="1:37" x14ac:dyDescent="0.3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>
        <f t="shared" si="1"/>
        <v>1</v>
      </c>
    </row>
    <row r="127" spans="1:37" x14ac:dyDescent="0.3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>
        <f t="shared" si="1"/>
        <v>0</v>
      </c>
    </row>
    <row r="128" spans="1:37" x14ac:dyDescent="0.3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>
        <f t="shared" si="1"/>
        <v>1</v>
      </c>
    </row>
    <row r="129" spans="1:37" x14ac:dyDescent="0.3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>
        <f t="shared" si="1"/>
        <v>1</v>
      </c>
    </row>
    <row r="130" spans="1:37" x14ac:dyDescent="0.3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>
        <f t="shared" si="1"/>
        <v>0</v>
      </c>
    </row>
    <row r="131" spans="1:37" x14ac:dyDescent="0.3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>
        <f t="shared" ref="AK131:AK194" si="2">IF(B131="Yes",1,0)</f>
        <v>0</v>
      </c>
    </row>
    <row r="132" spans="1:37" x14ac:dyDescent="0.3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>
        <f t="shared" si="2"/>
        <v>0</v>
      </c>
    </row>
    <row r="133" spans="1:37" x14ac:dyDescent="0.3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>
        <f t="shared" si="2"/>
        <v>0</v>
      </c>
    </row>
    <row r="134" spans="1:37" x14ac:dyDescent="0.3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>
        <f t="shared" si="2"/>
        <v>1</v>
      </c>
    </row>
    <row r="135" spans="1:37" x14ac:dyDescent="0.3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>
        <f t="shared" si="2"/>
        <v>0</v>
      </c>
    </row>
    <row r="136" spans="1:37" x14ac:dyDescent="0.3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>
        <f t="shared" si="2"/>
        <v>0</v>
      </c>
    </row>
    <row r="137" spans="1:37" x14ac:dyDescent="0.3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>
        <f t="shared" si="2"/>
        <v>0</v>
      </c>
    </row>
    <row r="138" spans="1:37" x14ac:dyDescent="0.3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>
        <f t="shared" si="2"/>
        <v>1</v>
      </c>
    </row>
    <row r="139" spans="1:37" x14ac:dyDescent="0.3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>
        <f t="shared" si="2"/>
        <v>0</v>
      </c>
    </row>
    <row r="140" spans="1:37" x14ac:dyDescent="0.3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>
        <f t="shared" si="2"/>
        <v>0</v>
      </c>
    </row>
    <row r="141" spans="1:37" x14ac:dyDescent="0.3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>
        <f t="shared" si="2"/>
        <v>0</v>
      </c>
    </row>
    <row r="142" spans="1:37" x14ac:dyDescent="0.3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>
        <f t="shared" si="2"/>
        <v>1</v>
      </c>
    </row>
    <row r="143" spans="1:37" x14ac:dyDescent="0.3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>
        <f t="shared" si="2"/>
        <v>0</v>
      </c>
    </row>
    <row r="144" spans="1:37" x14ac:dyDescent="0.3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>
        <f t="shared" si="2"/>
        <v>0</v>
      </c>
    </row>
    <row r="145" spans="1:37" x14ac:dyDescent="0.3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>
        <f t="shared" si="2"/>
        <v>0</v>
      </c>
    </row>
    <row r="146" spans="1:37" x14ac:dyDescent="0.3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>
        <f t="shared" si="2"/>
        <v>0</v>
      </c>
    </row>
    <row r="147" spans="1:37" x14ac:dyDescent="0.3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>
        <f t="shared" si="2"/>
        <v>0</v>
      </c>
    </row>
    <row r="148" spans="1:37" x14ac:dyDescent="0.3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>
        <f t="shared" si="2"/>
        <v>0</v>
      </c>
    </row>
    <row r="149" spans="1:37" x14ac:dyDescent="0.3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>
        <f t="shared" si="2"/>
        <v>0</v>
      </c>
    </row>
    <row r="150" spans="1:37" x14ac:dyDescent="0.3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>
        <f t="shared" si="2"/>
        <v>0</v>
      </c>
    </row>
    <row r="151" spans="1:37" x14ac:dyDescent="0.3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>
        <f t="shared" si="2"/>
        <v>0</v>
      </c>
    </row>
    <row r="152" spans="1:37" x14ac:dyDescent="0.3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>
        <f t="shared" si="2"/>
        <v>0</v>
      </c>
    </row>
    <row r="153" spans="1:37" x14ac:dyDescent="0.3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>
        <f t="shared" si="2"/>
        <v>0</v>
      </c>
    </row>
    <row r="154" spans="1:37" x14ac:dyDescent="0.3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>
        <f t="shared" si="2"/>
        <v>0</v>
      </c>
    </row>
    <row r="155" spans="1:37" x14ac:dyDescent="0.3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>
        <f t="shared" si="2"/>
        <v>0</v>
      </c>
    </row>
    <row r="156" spans="1:37" x14ac:dyDescent="0.3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>
        <f t="shared" si="2"/>
        <v>0</v>
      </c>
    </row>
    <row r="157" spans="1:37" x14ac:dyDescent="0.3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>
        <f t="shared" si="2"/>
        <v>0</v>
      </c>
    </row>
    <row r="158" spans="1:37" x14ac:dyDescent="0.3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>
        <f t="shared" si="2"/>
        <v>0</v>
      </c>
    </row>
    <row r="159" spans="1:37" x14ac:dyDescent="0.3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>
        <f t="shared" si="2"/>
        <v>0</v>
      </c>
    </row>
    <row r="160" spans="1:37" x14ac:dyDescent="0.3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>
        <f t="shared" si="2"/>
        <v>0</v>
      </c>
    </row>
    <row r="161" spans="1:37" x14ac:dyDescent="0.3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>
        <f t="shared" si="2"/>
        <v>0</v>
      </c>
    </row>
    <row r="162" spans="1:37" x14ac:dyDescent="0.3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>
        <f t="shared" si="2"/>
        <v>0</v>
      </c>
    </row>
    <row r="163" spans="1:37" x14ac:dyDescent="0.3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>
        <f t="shared" si="2"/>
        <v>0</v>
      </c>
    </row>
    <row r="164" spans="1:37" x14ac:dyDescent="0.3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>
        <f t="shared" si="2"/>
        <v>0</v>
      </c>
    </row>
    <row r="165" spans="1:37" x14ac:dyDescent="0.3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>
        <f t="shared" si="2"/>
        <v>0</v>
      </c>
    </row>
    <row r="166" spans="1:37" x14ac:dyDescent="0.3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>
        <f t="shared" si="2"/>
        <v>0</v>
      </c>
    </row>
    <row r="167" spans="1:37" x14ac:dyDescent="0.3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>
        <f t="shared" si="2"/>
        <v>0</v>
      </c>
    </row>
    <row r="168" spans="1:37" x14ac:dyDescent="0.3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>
        <f t="shared" si="2"/>
        <v>0</v>
      </c>
    </row>
    <row r="169" spans="1:37" x14ac:dyDescent="0.3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>
        <f t="shared" si="2"/>
        <v>0</v>
      </c>
    </row>
    <row r="170" spans="1:37" x14ac:dyDescent="0.3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>
        <f t="shared" si="2"/>
        <v>0</v>
      </c>
    </row>
    <row r="171" spans="1:37" x14ac:dyDescent="0.3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>
        <f t="shared" si="2"/>
        <v>0</v>
      </c>
    </row>
    <row r="172" spans="1:37" x14ac:dyDescent="0.3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>
        <f t="shared" si="2"/>
        <v>0</v>
      </c>
    </row>
    <row r="173" spans="1:37" x14ac:dyDescent="0.3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>
        <f t="shared" si="2"/>
        <v>1</v>
      </c>
    </row>
    <row r="174" spans="1:37" x14ac:dyDescent="0.3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>
        <f t="shared" si="2"/>
        <v>0</v>
      </c>
    </row>
    <row r="175" spans="1:37" x14ac:dyDescent="0.3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>
        <f t="shared" si="2"/>
        <v>0</v>
      </c>
    </row>
    <row r="176" spans="1:37" x14ac:dyDescent="0.3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>
        <f t="shared" si="2"/>
        <v>0</v>
      </c>
    </row>
    <row r="177" spans="1:37" x14ac:dyDescent="0.3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>
        <f t="shared" si="2"/>
        <v>0</v>
      </c>
    </row>
    <row r="178" spans="1:37" x14ac:dyDescent="0.3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>
        <f t="shared" si="2"/>
        <v>0</v>
      </c>
    </row>
    <row r="179" spans="1:37" x14ac:dyDescent="0.3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>
        <f t="shared" si="2"/>
        <v>1</v>
      </c>
    </row>
    <row r="180" spans="1:37" x14ac:dyDescent="0.3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>
        <f t="shared" si="2"/>
        <v>0</v>
      </c>
    </row>
    <row r="181" spans="1:37" x14ac:dyDescent="0.3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>
        <f t="shared" si="2"/>
        <v>0</v>
      </c>
    </row>
    <row r="182" spans="1:37" x14ac:dyDescent="0.3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>
        <f t="shared" si="2"/>
        <v>0</v>
      </c>
    </row>
    <row r="183" spans="1:37" x14ac:dyDescent="0.3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>
        <f t="shared" si="2"/>
        <v>0</v>
      </c>
    </row>
    <row r="184" spans="1:37" x14ac:dyDescent="0.3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>
        <f t="shared" si="2"/>
        <v>1</v>
      </c>
    </row>
    <row r="185" spans="1:37" x14ac:dyDescent="0.3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>
        <f t="shared" si="2"/>
        <v>0</v>
      </c>
    </row>
    <row r="186" spans="1:37" x14ac:dyDescent="0.3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>
        <f t="shared" si="2"/>
        <v>0</v>
      </c>
    </row>
    <row r="187" spans="1:37" x14ac:dyDescent="0.3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>
        <f t="shared" si="2"/>
        <v>0</v>
      </c>
    </row>
    <row r="188" spans="1:37" x14ac:dyDescent="0.3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>
        <f t="shared" si="2"/>
        <v>0</v>
      </c>
    </row>
    <row r="189" spans="1:37" x14ac:dyDescent="0.3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>
        <f t="shared" si="2"/>
        <v>0</v>
      </c>
    </row>
    <row r="190" spans="1:37" x14ac:dyDescent="0.3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>
        <f t="shared" si="2"/>
        <v>0</v>
      </c>
    </row>
    <row r="191" spans="1:37" x14ac:dyDescent="0.3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>
        <f t="shared" si="2"/>
        <v>0</v>
      </c>
    </row>
    <row r="192" spans="1:37" x14ac:dyDescent="0.3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>
        <f t="shared" si="2"/>
        <v>0</v>
      </c>
    </row>
    <row r="193" spans="1:37" x14ac:dyDescent="0.3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>
        <f t="shared" si="2"/>
        <v>0</v>
      </c>
    </row>
    <row r="194" spans="1:37" x14ac:dyDescent="0.3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>
        <f t="shared" si="2"/>
        <v>1</v>
      </c>
    </row>
    <row r="195" spans="1:37" x14ac:dyDescent="0.3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>
        <f t="shared" ref="AK195:AK258" si="3">IF(B195="Yes",1,0)</f>
        <v>0</v>
      </c>
    </row>
    <row r="196" spans="1:37" x14ac:dyDescent="0.3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>
        <f t="shared" si="3"/>
        <v>0</v>
      </c>
    </row>
    <row r="197" spans="1:37" x14ac:dyDescent="0.3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>
        <f t="shared" si="3"/>
        <v>0</v>
      </c>
    </row>
    <row r="198" spans="1:37" x14ac:dyDescent="0.3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>
        <f t="shared" si="3"/>
        <v>0</v>
      </c>
    </row>
    <row r="199" spans="1:37" x14ac:dyDescent="0.3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>
        <f t="shared" si="3"/>
        <v>0</v>
      </c>
    </row>
    <row r="200" spans="1:37" x14ac:dyDescent="0.3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>
        <f t="shared" si="3"/>
        <v>0</v>
      </c>
    </row>
    <row r="201" spans="1:37" x14ac:dyDescent="0.3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>
        <f t="shared" si="3"/>
        <v>0</v>
      </c>
    </row>
    <row r="202" spans="1:37" x14ac:dyDescent="0.3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>
        <f t="shared" si="3"/>
        <v>0</v>
      </c>
    </row>
    <row r="203" spans="1:37" x14ac:dyDescent="0.3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>
        <f t="shared" si="3"/>
        <v>0</v>
      </c>
    </row>
    <row r="204" spans="1:37" x14ac:dyDescent="0.3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>
        <f t="shared" si="3"/>
        <v>0</v>
      </c>
    </row>
    <row r="205" spans="1:37" x14ac:dyDescent="0.3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>
        <f t="shared" si="3"/>
        <v>0</v>
      </c>
    </row>
    <row r="206" spans="1:37" x14ac:dyDescent="0.3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>
        <f t="shared" si="3"/>
        <v>1</v>
      </c>
    </row>
    <row r="207" spans="1:37" x14ac:dyDescent="0.3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>
        <f t="shared" si="3"/>
        <v>1</v>
      </c>
    </row>
    <row r="208" spans="1:37" x14ac:dyDescent="0.3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>
        <f t="shared" si="3"/>
        <v>0</v>
      </c>
    </row>
    <row r="209" spans="1:37" x14ac:dyDescent="0.3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>
        <f t="shared" si="3"/>
        <v>0</v>
      </c>
    </row>
    <row r="210" spans="1:37" x14ac:dyDescent="0.3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>
        <f t="shared" si="3"/>
        <v>0</v>
      </c>
    </row>
    <row r="211" spans="1:37" x14ac:dyDescent="0.3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>
        <f t="shared" si="3"/>
        <v>0</v>
      </c>
    </row>
    <row r="212" spans="1:37" x14ac:dyDescent="0.3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>
        <f t="shared" si="3"/>
        <v>1</v>
      </c>
    </row>
    <row r="213" spans="1:37" x14ac:dyDescent="0.3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>
        <f t="shared" si="3"/>
        <v>0</v>
      </c>
    </row>
    <row r="214" spans="1:37" x14ac:dyDescent="0.3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>
        <f t="shared" si="3"/>
        <v>0</v>
      </c>
    </row>
    <row r="215" spans="1:37" x14ac:dyDescent="0.3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>
        <f t="shared" si="3"/>
        <v>0</v>
      </c>
    </row>
    <row r="216" spans="1:37" x14ac:dyDescent="0.3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>
        <f t="shared" si="3"/>
        <v>1</v>
      </c>
    </row>
    <row r="217" spans="1:37" x14ac:dyDescent="0.3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>
        <f t="shared" si="3"/>
        <v>0</v>
      </c>
    </row>
    <row r="218" spans="1:37" x14ac:dyDescent="0.3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>
        <f t="shared" si="3"/>
        <v>1</v>
      </c>
    </row>
    <row r="219" spans="1:37" x14ac:dyDescent="0.3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>
        <f t="shared" si="3"/>
        <v>1</v>
      </c>
    </row>
    <row r="220" spans="1:37" x14ac:dyDescent="0.3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>
        <f t="shared" si="3"/>
        <v>0</v>
      </c>
    </row>
    <row r="221" spans="1:37" x14ac:dyDescent="0.3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>
        <f t="shared" si="3"/>
        <v>0</v>
      </c>
    </row>
    <row r="222" spans="1:37" x14ac:dyDescent="0.3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>
        <f t="shared" si="3"/>
        <v>0</v>
      </c>
    </row>
    <row r="223" spans="1:37" x14ac:dyDescent="0.3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>
        <f t="shared" si="3"/>
        <v>0</v>
      </c>
    </row>
    <row r="224" spans="1:37" x14ac:dyDescent="0.3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>
        <f t="shared" si="3"/>
        <v>0</v>
      </c>
    </row>
    <row r="225" spans="1:37" x14ac:dyDescent="0.3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>
        <f t="shared" si="3"/>
        <v>0</v>
      </c>
    </row>
    <row r="226" spans="1:37" x14ac:dyDescent="0.3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>
        <f t="shared" si="3"/>
        <v>0</v>
      </c>
    </row>
    <row r="227" spans="1:37" x14ac:dyDescent="0.3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>
        <f t="shared" si="3"/>
        <v>0</v>
      </c>
    </row>
    <row r="228" spans="1:37" x14ac:dyDescent="0.3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>
        <f t="shared" si="3"/>
        <v>0</v>
      </c>
    </row>
    <row r="229" spans="1:37" x14ac:dyDescent="0.3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>
        <f t="shared" si="3"/>
        <v>0</v>
      </c>
    </row>
    <row r="230" spans="1:37" x14ac:dyDescent="0.3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>
        <f t="shared" si="3"/>
        <v>0</v>
      </c>
    </row>
    <row r="231" spans="1:37" x14ac:dyDescent="0.3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>
        <f t="shared" si="3"/>
        <v>1</v>
      </c>
    </row>
    <row r="232" spans="1:37" x14ac:dyDescent="0.3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>
        <f t="shared" si="3"/>
        <v>0</v>
      </c>
    </row>
    <row r="233" spans="1:37" x14ac:dyDescent="0.3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>
        <f t="shared" si="3"/>
        <v>0</v>
      </c>
    </row>
    <row r="234" spans="1:37" x14ac:dyDescent="0.3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>
        <f t="shared" si="3"/>
        <v>0</v>
      </c>
    </row>
    <row r="235" spans="1:37" x14ac:dyDescent="0.3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>
        <f t="shared" si="3"/>
        <v>0</v>
      </c>
    </row>
    <row r="236" spans="1:37" x14ac:dyDescent="0.3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>
        <f t="shared" si="3"/>
        <v>1</v>
      </c>
    </row>
    <row r="237" spans="1:37" x14ac:dyDescent="0.3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>
        <f t="shared" si="3"/>
        <v>0</v>
      </c>
    </row>
    <row r="238" spans="1:37" x14ac:dyDescent="0.3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>
        <f t="shared" si="3"/>
        <v>1</v>
      </c>
    </row>
    <row r="239" spans="1:37" x14ac:dyDescent="0.3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>
        <f t="shared" si="3"/>
        <v>0</v>
      </c>
    </row>
    <row r="240" spans="1:37" x14ac:dyDescent="0.3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>
        <f t="shared" si="3"/>
        <v>0</v>
      </c>
    </row>
    <row r="241" spans="1:37" x14ac:dyDescent="0.3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>
        <f t="shared" si="3"/>
        <v>1</v>
      </c>
    </row>
    <row r="242" spans="1:37" x14ac:dyDescent="0.3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>
        <f t="shared" si="3"/>
        <v>0</v>
      </c>
    </row>
    <row r="243" spans="1:37" x14ac:dyDescent="0.3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>
        <f t="shared" si="3"/>
        <v>0</v>
      </c>
    </row>
    <row r="244" spans="1:37" x14ac:dyDescent="0.3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>
        <f t="shared" si="3"/>
        <v>0</v>
      </c>
    </row>
    <row r="245" spans="1:37" x14ac:dyDescent="0.3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>
        <f t="shared" si="3"/>
        <v>0</v>
      </c>
    </row>
    <row r="246" spans="1:37" x14ac:dyDescent="0.3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>
        <f t="shared" si="3"/>
        <v>0</v>
      </c>
    </row>
    <row r="247" spans="1:37" x14ac:dyDescent="0.3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>
        <f t="shared" si="3"/>
        <v>0</v>
      </c>
    </row>
    <row r="248" spans="1:37" x14ac:dyDescent="0.3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>
        <f t="shared" si="3"/>
        <v>0</v>
      </c>
    </row>
    <row r="249" spans="1:37" x14ac:dyDescent="0.3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>
        <f t="shared" si="3"/>
        <v>0</v>
      </c>
    </row>
    <row r="250" spans="1:37" x14ac:dyDescent="0.3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>
        <f t="shared" si="3"/>
        <v>0</v>
      </c>
    </row>
    <row r="251" spans="1:37" x14ac:dyDescent="0.3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>
        <f t="shared" si="3"/>
        <v>0</v>
      </c>
    </row>
    <row r="252" spans="1:37" x14ac:dyDescent="0.3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>
        <f t="shared" si="3"/>
        <v>1</v>
      </c>
    </row>
    <row r="253" spans="1:37" x14ac:dyDescent="0.3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>
        <f t="shared" si="3"/>
        <v>0</v>
      </c>
    </row>
    <row r="254" spans="1:37" x14ac:dyDescent="0.3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>
        <f t="shared" si="3"/>
        <v>0</v>
      </c>
    </row>
    <row r="255" spans="1:37" x14ac:dyDescent="0.3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>
        <f t="shared" si="3"/>
        <v>0</v>
      </c>
    </row>
    <row r="256" spans="1:37" x14ac:dyDescent="0.3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>
        <f t="shared" si="3"/>
        <v>0</v>
      </c>
    </row>
    <row r="257" spans="1:37" x14ac:dyDescent="0.3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>
        <f t="shared" si="3"/>
        <v>0</v>
      </c>
    </row>
    <row r="258" spans="1:37" x14ac:dyDescent="0.3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>
        <f t="shared" si="3"/>
        <v>0</v>
      </c>
    </row>
    <row r="259" spans="1:37" x14ac:dyDescent="0.3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>
        <f t="shared" ref="AK259:AK322" si="4">IF(B259="Yes",1,0)</f>
        <v>0</v>
      </c>
    </row>
    <row r="260" spans="1:37" x14ac:dyDescent="0.3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>
        <f t="shared" si="4"/>
        <v>0</v>
      </c>
    </row>
    <row r="261" spans="1:37" x14ac:dyDescent="0.3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>
        <f t="shared" si="4"/>
        <v>1</v>
      </c>
    </row>
    <row r="262" spans="1:37" x14ac:dyDescent="0.3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>
        <f t="shared" si="4"/>
        <v>0</v>
      </c>
    </row>
    <row r="263" spans="1:37" x14ac:dyDescent="0.3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>
        <f t="shared" si="4"/>
        <v>0</v>
      </c>
    </row>
    <row r="264" spans="1:37" x14ac:dyDescent="0.3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>
        <f t="shared" si="4"/>
        <v>0</v>
      </c>
    </row>
    <row r="265" spans="1:37" x14ac:dyDescent="0.3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>
        <f t="shared" si="4"/>
        <v>0</v>
      </c>
    </row>
    <row r="266" spans="1:37" x14ac:dyDescent="0.3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>
        <f t="shared" si="4"/>
        <v>1</v>
      </c>
    </row>
    <row r="267" spans="1:37" x14ac:dyDescent="0.3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>
        <f t="shared" si="4"/>
        <v>0</v>
      </c>
    </row>
    <row r="268" spans="1:37" x14ac:dyDescent="0.3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>
        <f t="shared" si="4"/>
        <v>0</v>
      </c>
    </row>
    <row r="269" spans="1:37" x14ac:dyDescent="0.3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>
        <f t="shared" si="4"/>
        <v>0</v>
      </c>
    </row>
    <row r="270" spans="1:37" x14ac:dyDescent="0.3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>
        <f t="shared" si="4"/>
        <v>0</v>
      </c>
    </row>
    <row r="271" spans="1:37" x14ac:dyDescent="0.3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>
        <f t="shared" si="4"/>
        <v>0</v>
      </c>
    </row>
    <row r="272" spans="1:37" x14ac:dyDescent="0.3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>
        <f t="shared" si="4"/>
        <v>0</v>
      </c>
    </row>
    <row r="273" spans="1:37" x14ac:dyDescent="0.3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>
        <f t="shared" si="4"/>
        <v>1</v>
      </c>
    </row>
    <row r="274" spans="1:37" x14ac:dyDescent="0.3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>
        <f t="shared" si="4"/>
        <v>0</v>
      </c>
    </row>
    <row r="275" spans="1:37" x14ac:dyDescent="0.3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>
        <f t="shared" si="4"/>
        <v>0</v>
      </c>
    </row>
    <row r="276" spans="1:37" x14ac:dyDescent="0.3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>
        <f t="shared" si="4"/>
        <v>0</v>
      </c>
    </row>
    <row r="277" spans="1:37" x14ac:dyDescent="0.3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>
        <f t="shared" si="4"/>
        <v>0</v>
      </c>
    </row>
    <row r="278" spans="1:37" x14ac:dyDescent="0.3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>
        <f t="shared" si="4"/>
        <v>0</v>
      </c>
    </row>
    <row r="279" spans="1:37" x14ac:dyDescent="0.3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>
        <f t="shared" si="4"/>
        <v>0</v>
      </c>
    </row>
    <row r="280" spans="1:37" x14ac:dyDescent="0.3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>
        <f t="shared" si="4"/>
        <v>0</v>
      </c>
    </row>
    <row r="281" spans="1:37" x14ac:dyDescent="0.3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>
        <f t="shared" si="4"/>
        <v>0</v>
      </c>
    </row>
    <row r="282" spans="1:37" x14ac:dyDescent="0.3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>
        <f t="shared" si="4"/>
        <v>0</v>
      </c>
    </row>
    <row r="283" spans="1:37" x14ac:dyDescent="0.3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>
        <f t="shared" si="4"/>
        <v>0</v>
      </c>
    </row>
    <row r="284" spans="1:37" x14ac:dyDescent="0.3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>
        <f t="shared" si="4"/>
        <v>0</v>
      </c>
    </row>
    <row r="285" spans="1:37" x14ac:dyDescent="0.3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>
        <f t="shared" si="4"/>
        <v>0</v>
      </c>
    </row>
    <row r="286" spans="1:37" x14ac:dyDescent="0.3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>
        <f t="shared" si="4"/>
        <v>0</v>
      </c>
    </row>
    <row r="287" spans="1:37" x14ac:dyDescent="0.3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>
        <f t="shared" si="4"/>
        <v>0</v>
      </c>
    </row>
    <row r="288" spans="1:37" x14ac:dyDescent="0.3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>
        <f t="shared" si="4"/>
        <v>1</v>
      </c>
    </row>
    <row r="289" spans="1:37" x14ac:dyDescent="0.3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>
        <f t="shared" si="4"/>
        <v>0</v>
      </c>
    </row>
    <row r="290" spans="1:37" x14ac:dyDescent="0.3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>
        <f t="shared" si="4"/>
        <v>1</v>
      </c>
    </row>
    <row r="291" spans="1:37" x14ac:dyDescent="0.3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>
        <f t="shared" si="4"/>
        <v>0</v>
      </c>
    </row>
    <row r="292" spans="1:37" x14ac:dyDescent="0.3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>
        <f t="shared" si="4"/>
        <v>0</v>
      </c>
    </row>
    <row r="293" spans="1:37" x14ac:dyDescent="0.3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>
        <f t="shared" si="4"/>
        <v>0</v>
      </c>
    </row>
    <row r="294" spans="1:37" x14ac:dyDescent="0.3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>
        <f t="shared" si="4"/>
        <v>0</v>
      </c>
    </row>
    <row r="295" spans="1:37" x14ac:dyDescent="0.3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>
        <f t="shared" si="4"/>
        <v>1</v>
      </c>
    </row>
    <row r="296" spans="1:37" x14ac:dyDescent="0.3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>
        <f t="shared" si="4"/>
        <v>0</v>
      </c>
    </row>
    <row r="297" spans="1:37" x14ac:dyDescent="0.3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>
        <f t="shared" si="4"/>
        <v>0</v>
      </c>
    </row>
    <row r="298" spans="1:37" x14ac:dyDescent="0.3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>
        <f t="shared" si="4"/>
        <v>1</v>
      </c>
    </row>
    <row r="299" spans="1:37" x14ac:dyDescent="0.3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>
        <f t="shared" si="4"/>
        <v>0</v>
      </c>
    </row>
    <row r="300" spans="1:37" x14ac:dyDescent="0.3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>
        <f t="shared" si="4"/>
        <v>0</v>
      </c>
    </row>
    <row r="301" spans="1:37" x14ac:dyDescent="0.3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>
        <f t="shared" si="4"/>
        <v>0</v>
      </c>
    </row>
    <row r="302" spans="1:37" x14ac:dyDescent="0.3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>
        <f t="shared" si="4"/>
        <v>0</v>
      </c>
    </row>
    <row r="303" spans="1:37" x14ac:dyDescent="0.3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>
        <f t="shared" si="4"/>
        <v>0</v>
      </c>
    </row>
    <row r="304" spans="1:37" x14ac:dyDescent="0.3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>
        <f t="shared" si="4"/>
        <v>0</v>
      </c>
    </row>
    <row r="305" spans="1:37" x14ac:dyDescent="0.3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>
        <f t="shared" si="4"/>
        <v>0</v>
      </c>
    </row>
    <row r="306" spans="1:37" x14ac:dyDescent="0.3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>
        <f t="shared" si="4"/>
        <v>0</v>
      </c>
    </row>
    <row r="307" spans="1:37" x14ac:dyDescent="0.3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>
        <f t="shared" si="4"/>
        <v>0</v>
      </c>
    </row>
    <row r="308" spans="1:37" x14ac:dyDescent="0.3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>
        <f t="shared" si="4"/>
        <v>0</v>
      </c>
    </row>
    <row r="309" spans="1:37" x14ac:dyDescent="0.3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>
        <f t="shared" si="4"/>
        <v>0</v>
      </c>
    </row>
    <row r="310" spans="1:37" x14ac:dyDescent="0.3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>
        <f t="shared" si="4"/>
        <v>0</v>
      </c>
    </row>
    <row r="311" spans="1:37" x14ac:dyDescent="0.3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>
        <f t="shared" si="4"/>
        <v>0</v>
      </c>
    </row>
    <row r="312" spans="1:37" x14ac:dyDescent="0.3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>
        <f t="shared" si="4"/>
        <v>0</v>
      </c>
    </row>
    <row r="313" spans="1:37" x14ac:dyDescent="0.3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>
        <f t="shared" si="4"/>
        <v>0</v>
      </c>
    </row>
    <row r="314" spans="1:37" x14ac:dyDescent="0.3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>
        <f t="shared" si="4"/>
        <v>0</v>
      </c>
    </row>
    <row r="315" spans="1:37" x14ac:dyDescent="0.3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>
        <f t="shared" si="4"/>
        <v>0</v>
      </c>
    </row>
    <row r="316" spans="1:37" x14ac:dyDescent="0.3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>
        <f t="shared" si="4"/>
        <v>0</v>
      </c>
    </row>
    <row r="317" spans="1:37" x14ac:dyDescent="0.3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>
        <f t="shared" si="4"/>
        <v>0</v>
      </c>
    </row>
    <row r="318" spans="1:37" x14ac:dyDescent="0.3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>
        <f t="shared" si="4"/>
        <v>0</v>
      </c>
    </row>
    <row r="319" spans="1:37" x14ac:dyDescent="0.3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>
        <f t="shared" si="4"/>
        <v>1</v>
      </c>
    </row>
    <row r="320" spans="1:37" x14ac:dyDescent="0.3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>
        <f t="shared" si="4"/>
        <v>0</v>
      </c>
    </row>
    <row r="321" spans="1:37" x14ac:dyDescent="0.3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>
        <f t="shared" si="4"/>
        <v>0</v>
      </c>
    </row>
    <row r="322" spans="1:37" x14ac:dyDescent="0.3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>
        <f t="shared" si="4"/>
        <v>0</v>
      </c>
    </row>
    <row r="323" spans="1:37" x14ac:dyDescent="0.3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>
        <f t="shared" ref="AK323:AK386" si="5">IF(B323="Yes",1,0)</f>
        <v>0</v>
      </c>
    </row>
    <row r="324" spans="1:37" x14ac:dyDescent="0.3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>
        <f t="shared" si="5"/>
        <v>0</v>
      </c>
    </row>
    <row r="325" spans="1:37" x14ac:dyDescent="0.3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>
        <f t="shared" si="5"/>
        <v>1</v>
      </c>
    </row>
    <row r="326" spans="1:37" x14ac:dyDescent="0.3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>
        <f t="shared" si="5"/>
        <v>0</v>
      </c>
    </row>
    <row r="327" spans="1:37" x14ac:dyDescent="0.3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>
        <f t="shared" si="5"/>
        <v>0</v>
      </c>
    </row>
    <row r="328" spans="1:37" x14ac:dyDescent="0.3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>
        <f t="shared" si="5"/>
        <v>0</v>
      </c>
    </row>
    <row r="329" spans="1:37" x14ac:dyDescent="0.3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>
        <f t="shared" si="5"/>
        <v>1</v>
      </c>
    </row>
    <row r="330" spans="1:37" x14ac:dyDescent="0.3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>
        <f t="shared" si="5"/>
        <v>0</v>
      </c>
    </row>
    <row r="331" spans="1:37" x14ac:dyDescent="0.3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>
        <f t="shared" si="5"/>
        <v>0</v>
      </c>
    </row>
    <row r="332" spans="1:37" x14ac:dyDescent="0.3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>
        <f t="shared" si="5"/>
        <v>0</v>
      </c>
    </row>
    <row r="333" spans="1:37" x14ac:dyDescent="0.3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>
        <f t="shared" si="5"/>
        <v>0</v>
      </c>
    </row>
    <row r="334" spans="1:37" x14ac:dyDescent="0.3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>
        <f t="shared" si="5"/>
        <v>0</v>
      </c>
    </row>
    <row r="335" spans="1:37" x14ac:dyDescent="0.3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>
        <f t="shared" si="5"/>
        <v>0</v>
      </c>
    </row>
    <row r="336" spans="1:37" x14ac:dyDescent="0.3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>
        <f t="shared" si="5"/>
        <v>0</v>
      </c>
    </row>
    <row r="337" spans="1:37" x14ac:dyDescent="0.3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>
        <f t="shared" si="5"/>
        <v>0</v>
      </c>
    </row>
    <row r="338" spans="1:37" x14ac:dyDescent="0.3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>
        <f t="shared" si="5"/>
        <v>1</v>
      </c>
    </row>
    <row r="339" spans="1:37" x14ac:dyDescent="0.3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>
        <f t="shared" si="5"/>
        <v>0</v>
      </c>
    </row>
    <row r="340" spans="1:37" x14ac:dyDescent="0.3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>
        <f t="shared" si="5"/>
        <v>0</v>
      </c>
    </row>
    <row r="341" spans="1:37" x14ac:dyDescent="0.3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>
        <f t="shared" si="5"/>
        <v>0</v>
      </c>
    </row>
    <row r="342" spans="1:37" x14ac:dyDescent="0.3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>
        <f t="shared" si="5"/>
        <v>0</v>
      </c>
    </row>
    <row r="343" spans="1:37" x14ac:dyDescent="0.3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>
        <f t="shared" si="5"/>
        <v>0</v>
      </c>
    </row>
    <row r="344" spans="1:37" x14ac:dyDescent="0.3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>
        <f t="shared" si="5"/>
        <v>0</v>
      </c>
    </row>
    <row r="345" spans="1:37" x14ac:dyDescent="0.3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>
        <f t="shared" si="5"/>
        <v>0</v>
      </c>
    </row>
    <row r="346" spans="1:37" x14ac:dyDescent="0.3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>
        <f t="shared" si="5"/>
        <v>0</v>
      </c>
    </row>
    <row r="347" spans="1:37" x14ac:dyDescent="0.3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>
        <f t="shared" si="5"/>
        <v>0</v>
      </c>
    </row>
    <row r="348" spans="1:37" x14ac:dyDescent="0.3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>
        <f t="shared" si="5"/>
        <v>0</v>
      </c>
    </row>
    <row r="349" spans="1:37" x14ac:dyDescent="0.3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>
        <f t="shared" si="5"/>
        <v>0</v>
      </c>
    </row>
    <row r="350" spans="1:37" x14ac:dyDescent="0.3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>
        <f t="shared" si="5"/>
        <v>0</v>
      </c>
    </row>
    <row r="351" spans="1:37" x14ac:dyDescent="0.3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>
        <f t="shared" si="5"/>
        <v>0</v>
      </c>
    </row>
    <row r="352" spans="1:37" x14ac:dyDescent="0.3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>
        <f t="shared" si="5"/>
        <v>0</v>
      </c>
    </row>
    <row r="353" spans="1:37" x14ac:dyDescent="0.3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>
        <f t="shared" si="5"/>
        <v>0</v>
      </c>
    </row>
    <row r="354" spans="1:37" x14ac:dyDescent="0.3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>
        <f t="shared" si="5"/>
        <v>0</v>
      </c>
    </row>
    <row r="355" spans="1:37" x14ac:dyDescent="0.3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>
        <f t="shared" si="5"/>
        <v>0</v>
      </c>
    </row>
    <row r="356" spans="1:37" x14ac:dyDescent="0.3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>
        <f t="shared" si="5"/>
        <v>0</v>
      </c>
    </row>
    <row r="357" spans="1:37" x14ac:dyDescent="0.3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>
        <f t="shared" si="5"/>
        <v>0</v>
      </c>
    </row>
    <row r="358" spans="1:37" x14ac:dyDescent="0.3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>
        <f t="shared" si="5"/>
        <v>0</v>
      </c>
    </row>
    <row r="359" spans="1:37" x14ac:dyDescent="0.3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>
        <f t="shared" si="5"/>
        <v>1</v>
      </c>
    </row>
    <row r="360" spans="1:37" x14ac:dyDescent="0.3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>
        <f t="shared" si="5"/>
        <v>0</v>
      </c>
    </row>
    <row r="361" spans="1:37" x14ac:dyDescent="0.3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>
        <f t="shared" si="5"/>
        <v>0</v>
      </c>
    </row>
    <row r="362" spans="1:37" x14ac:dyDescent="0.3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>
        <f t="shared" si="5"/>
        <v>0</v>
      </c>
    </row>
    <row r="363" spans="1:37" x14ac:dyDescent="0.3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>
        <f t="shared" si="5"/>
        <v>0</v>
      </c>
    </row>
    <row r="364" spans="1:37" x14ac:dyDescent="0.3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>
        <f t="shared" si="5"/>
        <v>0</v>
      </c>
    </row>
    <row r="365" spans="1:37" x14ac:dyDescent="0.3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>
        <f t="shared" si="5"/>
        <v>1</v>
      </c>
    </row>
    <row r="366" spans="1:37" x14ac:dyDescent="0.3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>
        <f t="shared" si="5"/>
        <v>0</v>
      </c>
    </row>
    <row r="367" spans="1:37" x14ac:dyDescent="0.3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>
        <f t="shared" si="5"/>
        <v>0</v>
      </c>
    </row>
    <row r="368" spans="1:37" x14ac:dyDescent="0.3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>
        <f t="shared" si="5"/>
        <v>1</v>
      </c>
    </row>
    <row r="369" spans="1:37" x14ac:dyDescent="0.3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>
        <f t="shared" si="5"/>
        <v>0</v>
      </c>
    </row>
    <row r="370" spans="1:37" x14ac:dyDescent="0.3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>
        <f t="shared" si="5"/>
        <v>1</v>
      </c>
    </row>
    <row r="371" spans="1:37" x14ac:dyDescent="0.3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>
        <f t="shared" si="5"/>
        <v>0</v>
      </c>
    </row>
    <row r="372" spans="1:37" x14ac:dyDescent="0.3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>
        <f t="shared" si="5"/>
        <v>1</v>
      </c>
    </row>
    <row r="373" spans="1:37" x14ac:dyDescent="0.3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>
        <f t="shared" si="5"/>
        <v>0</v>
      </c>
    </row>
    <row r="374" spans="1:37" x14ac:dyDescent="0.3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>
        <f t="shared" si="5"/>
        <v>0</v>
      </c>
    </row>
    <row r="375" spans="1:37" x14ac:dyDescent="0.3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>
        <f t="shared" si="5"/>
        <v>0</v>
      </c>
    </row>
    <row r="376" spans="1:37" x14ac:dyDescent="0.3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>
        <f t="shared" si="5"/>
        <v>0</v>
      </c>
    </row>
    <row r="377" spans="1:37" x14ac:dyDescent="0.3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>
        <f t="shared" si="5"/>
        <v>0</v>
      </c>
    </row>
    <row r="378" spans="1:37" x14ac:dyDescent="0.3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>
        <f t="shared" si="5"/>
        <v>0</v>
      </c>
    </row>
    <row r="379" spans="1:37" x14ac:dyDescent="0.3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>
        <f t="shared" si="5"/>
        <v>0</v>
      </c>
    </row>
    <row r="380" spans="1:37" x14ac:dyDescent="0.3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>
        <f t="shared" si="5"/>
        <v>1</v>
      </c>
    </row>
    <row r="381" spans="1:37" x14ac:dyDescent="0.3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>
        <f t="shared" si="5"/>
        <v>0</v>
      </c>
    </row>
    <row r="382" spans="1:37" x14ac:dyDescent="0.3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>
        <f t="shared" si="5"/>
        <v>0</v>
      </c>
    </row>
    <row r="383" spans="1:37" x14ac:dyDescent="0.3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>
        <f t="shared" si="5"/>
        <v>0</v>
      </c>
    </row>
    <row r="384" spans="1:37" x14ac:dyDescent="0.3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>
        <f t="shared" si="5"/>
        <v>1</v>
      </c>
    </row>
    <row r="385" spans="1:37" x14ac:dyDescent="0.3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>
        <f t="shared" si="5"/>
        <v>0</v>
      </c>
    </row>
    <row r="386" spans="1:37" x14ac:dyDescent="0.3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>
        <f t="shared" si="5"/>
        <v>0</v>
      </c>
    </row>
    <row r="387" spans="1:37" x14ac:dyDescent="0.3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>
        <f t="shared" ref="AK387:AK450" si="6">IF(B387="Yes",1,0)</f>
        <v>1</v>
      </c>
    </row>
    <row r="388" spans="1:37" x14ac:dyDescent="0.3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>
        <f t="shared" si="6"/>
        <v>0</v>
      </c>
    </row>
    <row r="389" spans="1:37" x14ac:dyDescent="0.3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>
        <f t="shared" si="6"/>
        <v>0</v>
      </c>
    </row>
    <row r="390" spans="1:37" x14ac:dyDescent="0.3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>
        <f t="shared" si="6"/>
        <v>0</v>
      </c>
    </row>
    <row r="391" spans="1:37" x14ac:dyDescent="0.3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>
        <f t="shared" si="6"/>
        <v>0</v>
      </c>
    </row>
    <row r="392" spans="1:37" x14ac:dyDescent="0.3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>
        <f t="shared" si="6"/>
        <v>0</v>
      </c>
    </row>
    <row r="393" spans="1:37" x14ac:dyDescent="0.3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>
        <f t="shared" si="6"/>
        <v>0</v>
      </c>
    </row>
    <row r="394" spans="1:37" x14ac:dyDescent="0.3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>
        <f t="shared" si="6"/>
        <v>0</v>
      </c>
    </row>
    <row r="395" spans="1:37" x14ac:dyDescent="0.3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>
        <f t="shared" si="6"/>
        <v>0</v>
      </c>
    </row>
    <row r="396" spans="1:37" x14ac:dyDescent="0.3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>
        <f t="shared" si="6"/>
        <v>0</v>
      </c>
    </row>
    <row r="397" spans="1:37" x14ac:dyDescent="0.3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>
        <f t="shared" si="6"/>
        <v>0</v>
      </c>
    </row>
    <row r="398" spans="1:37" x14ac:dyDescent="0.3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>
        <f t="shared" si="6"/>
        <v>0</v>
      </c>
    </row>
    <row r="399" spans="1:37" x14ac:dyDescent="0.3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>
        <f t="shared" si="6"/>
        <v>0</v>
      </c>
    </row>
    <row r="400" spans="1:37" x14ac:dyDescent="0.3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>
        <f t="shared" si="6"/>
        <v>0</v>
      </c>
    </row>
    <row r="401" spans="1:37" x14ac:dyDescent="0.3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>
        <f t="shared" si="6"/>
        <v>0</v>
      </c>
    </row>
    <row r="402" spans="1:37" x14ac:dyDescent="0.3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>
        <f t="shared" si="6"/>
        <v>0</v>
      </c>
    </row>
    <row r="403" spans="1:37" x14ac:dyDescent="0.3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>
        <f t="shared" si="6"/>
        <v>0</v>
      </c>
    </row>
    <row r="404" spans="1:37" x14ac:dyDescent="0.3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>
        <f t="shared" si="6"/>
        <v>0</v>
      </c>
    </row>
    <row r="405" spans="1:37" x14ac:dyDescent="0.3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>
        <f t="shared" si="6"/>
        <v>0</v>
      </c>
    </row>
    <row r="406" spans="1:37" x14ac:dyDescent="0.3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>
        <f t="shared" si="6"/>
        <v>0</v>
      </c>
    </row>
    <row r="407" spans="1:37" x14ac:dyDescent="0.3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>
        <f t="shared" si="6"/>
        <v>1</v>
      </c>
    </row>
    <row r="408" spans="1:37" x14ac:dyDescent="0.3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>
        <f t="shared" si="6"/>
        <v>0</v>
      </c>
    </row>
    <row r="409" spans="1:37" x14ac:dyDescent="0.3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>
        <f t="shared" si="6"/>
        <v>0</v>
      </c>
    </row>
    <row r="410" spans="1:37" x14ac:dyDescent="0.3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>
        <f t="shared" si="6"/>
        <v>0</v>
      </c>
    </row>
    <row r="411" spans="1:37" x14ac:dyDescent="0.3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>
        <f t="shared" si="6"/>
        <v>0</v>
      </c>
    </row>
    <row r="412" spans="1:37" x14ac:dyDescent="0.3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>
        <f t="shared" si="6"/>
        <v>0</v>
      </c>
    </row>
    <row r="413" spans="1:37" x14ac:dyDescent="0.3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>
        <f t="shared" si="6"/>
        <v>0</v>
      </c>
    </row>
    <row r="414" spans="1:37" x14ac:dyDescent="0.3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>
        <f t="shared" si="6"/>
        <v>0</v>
      </c>
    </row>
    <row r="415" spans="1:37" x14ac:dyDescent="0.3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>
        <f t="shared" si="6"/>
        <v>0</v>
      </c>
    </row>
    <row r="416" spans="1:37" x14ac:dyDescent="0.3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>
        <f t="shared" si="6"/>
        <v>1</v>
      </c>
    </row>
    <row r="417" spans="1:37" x14ac:dyDescent="0.3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>
        <f t="shared" si="6"/>
        <v>1</v>
      </c>
    </row>
    <row r="418" spans="1:37" x14ac:dyDescent="0.3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>
        <f t="shared" si="6"/>
        <v>0</v>
      </c>
    </row>
    <row r="419" spans="1:37" x14ac:dyDescent="0.3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>
        <f t="shared" si="6"/>
        <v>0</v>
      </c>
    </row>
    <row r="420" spans="1:37" x14ac:dyDescent="0.3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>
        <f t="shared" si="6"/>
        <v>0</v>
      </c>
    </row>
    <row r="421" spans="1:37" x14ac:dyDescent="0.3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>
        <f t="shared" si="6"/>
        <v>0</v>
      </c>
    </row>
    <row r="422" spans="1:37" x14ac:dyDescent="0.3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>
        <f t="shared" si="6"/>
        <v>0</v>
      </c>
    </row>
    <row r="423" spans="1:37" x14ac:dyDescent="0.3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>
        <f t="shared" si="6"/>
        <v>1</v>
      </c>
    </row>
    <row r="424" spans="1:37" x14ac:dyDescent="0.3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>
        <f t="shared" si="6"/>
        <v>1</v>
      </c>
    </row>
    <row r="425" spans="1:37" x14ac:dyDescent="0.3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>
        <f t="shared" si="6"/>
        <v>0</v>
      </c>
    </row>
    <row r="426" spans="1:37" x14ac:dyDescent="0.3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>
        <f t="shared" si="6"/>
        <v>0</v>
      </c>
    </row>
    <row r="427" spans="1:37" x14ac:dyDescent="0.3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>
        <f t="shared" si="6"/>
        <v>0</v>
      </c>
    </row>
    <row r="428" spans="1:37" x14ac:dyDescent="0.3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>
        <f t="shared" si="6"/>
        <v>0</v>
      </c>
    </row>
    <row r="429" spans="1:37" x14ac:dyDescent="0.3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>
        <f t="shared" si="6"/>
        <v>0</v>
      </c>
    </row>
    <row r="430" spans="1:37" x14ac:dyDescent="0.3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>
        <f t="shared" si="6"/>
        <v>0</v>
      </c>
    </row>
    <row r="431" spans="1:37" x14ac:dyDescent="0.3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>
        <f t="shared" si="6"/>
        <v>0</v>
      </c>
    </row>
    <row r="432" spans="1:37" x14ac:dyDescent="0.3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>
        <f t="shared" si="6"/>
        <v>0</v>
      </c>
    </row>
    <row r="433" spans="1:37" x14ac:dyDescent="0.3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>
        <f t="shared" si="6"/>
        <v>0</v>
      </c>
    </row>
    <row r="434" spans="1:37" x14ac:dyDescent="0.3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>
        <f t="shared" si="6"/>
        <v>0</v>
      </c>
    </row>
    <row r="435" spans="1:37" x14ac:dyDescent="0.3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>
        <f t="shared" si="6"/>
        <v>0</v>
      </c>
    </row>
    <row r="436" spans="1:37" x14ac:dyDescent="0.3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>
        <f t="shared" si="6"/>
        <v>0</v>
      </c>
    </row>
    <row r="437" spans="1:37" x14ac:dyDescent="0.3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>
        <f t="shared" si="6"/>
        <v>1</v>
      </c>
    </row>
    <row r="438" spans="1:37" x14ac:dyDescent="0.3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>
        <f t="shared" si="6"/>
        <v>1</v>
      </c>
    </row>
    <row r="439" spans="1:37" x14ac:dyDescent="0.3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>
        <f t="shared" si="6"/>
        <v>0</v>
      </c>
    </row>
    <row r="440" spans="1:37" x14ac:dyDescent="0.3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>
        <f t="shared" si="6"/>
        <v>0</v>
      </c>
    </row>
    <row r="441" spans="1:37" x14ac:dyDescent="0.3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>
        <f t="shared" si="6"/>
        <v>1</v>
      </c>
    </row>
    <row r="442" spans="1:37" x14ac:dyDescent="0.3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>
        <f t="shared" si="6"/>
        <v>1</v>
      </c>
    </row>
    <row r="443" spans="1:37" x14ac:dyDescent="0.3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>
        <f t="shared" si="6"/>
        <v>0</v>
      </c>
    </row>
    <row r="444" spans="1:37" x14ac:dyDescent="0.3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>
        <f t="shared" si="6"/>
        <v>0</v>
      </c>
    </row>
    <row r="445" spans="1:37" x14ac:dyDescent="0.3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>
        <f t="shared" si="6"/>
        <v>1</v>
      </c>
    </row>
    <row r="446" spans="1:37" x14ac:dyDescent="0.3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>
        <f t="shared" si="6"/>
        <v>0</v>
      </c>
    </row>
    <row r="447" spans="1:37" x14ac:dyDescent="0.3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>
        <f t="shared" si="6"/>
        <v>0</v>
      </c>
    </row>
    <row r="448" spans="1:37" x14ac:dyDescent="0.3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>
        <f t="shared" si="6"/>
        <v>0</v>
      </c>
    </row>
    <row r="449" spans="1:37" x14ac:dyDescent="0.3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>
        <f t="shared" si="6"/>
        <v>0</v>
      </c>
    </row>
    <row r="450" spans="1:37" x14ac:dyDescent="0.3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>
        <f t="shared" si="6"/>
        <v>0</v>
      </c>
    </row>
    <row r="451" spans="1:37" x14ac:dyDescent="0.3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>
        <f t="shared" ref="AK451:AK514" si="7">IF(B451="Yes",1,0)</f>
        <v>0</v>
      </c>
    </row>
    <row r="452" spans="1:37" x14ac:dyDescent="0.3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>
        <f t="shared" si="7"/>
        <v>0</v>
      </c>
    </row>
    <row r="453" spans="1:37" x14ac:dyDescent="0.3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>
        <f t="shared" si="7"/>
        <v>0</v>
      </c>
    </row>
    <row r="454" spans="1:37" x14ac:dyDescent="0.3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>
        <f t="shared" si="7"/>
        <v>0</v>
      </c>
    </row>
    <row r="455" spans="1:37" x14ac:dyDescent="0.3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>
        <f t="shared" si="7"/>
        <v>1</v>
      </c>
    </row>
    <row r="456" spans="1:37" x14ac:dyDescent="0.3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>
        <f t="shared" si="7"/>
        <v>0</v>
      </c>
    </row>
    <row r="457" spans="1:37" x14ac:dyDescent="0.3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>
        <f t="shared" si="7"/>
        <v>0</v>
      </c>
    </row>
    <row r="458" spans="1:37" x14ac:dyDescent="0.3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>
        <f t="shared" si="7"/>
        <v>0</v>
      </c>
    </row>
    <row r="459" spans="1:37" x14ac:dyDescent="0.3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>
        <f t="shared" si="7"/>
        <v>1</v>
      </c>
    </row>
    <row r="460" spans="1:37" x14ac:dyDescent="0.3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>
        <f t="shared" si="7"/>
        <v>0</v>
      </c>
    </row>
    <row r="461" spans="1:37" x14ac:dyDescent="0.3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>
        <f t="shared" si="7"/>
        <v>0</v>
      </c>
    </row>
    <row r="462" spans="1:37" x14ac:dyDescent="0.3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>
        <f t="shared" si="7"/>
        <v>0</v>
      </c>
    </row>
    <row r="463" spans="1:37" x14ac:dyDescent="0.3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>
        <f t="shared" si="7"/>
        <v>0</v>
      </c>
    </row>
    <row r="464" spans="1:37" x14ac:dyDescent="0.3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>
        <f t="shared" si="7"/>
        <v>0</v>
      </c>
    </row>
    <row r="465" spans="1:37" x14ac:dyDescent="0.3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>
        <f t="shared" si="7"/>
        <v>1</v>
      </c>
    </row>
    <row r="466" spans="1:37" x14ac:dyDescent="0.3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>
        <f t="shared" si="7"/>
        <v>0</v>
      </c>
    </row>
    <row r="467" spans="1:37" x14ac:dyDescent="0.3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>
        <f t="shared" si="7"/>
        <v>0</v>
      </c>
    </row>
    <row r="468" spans="1:37" x14ac:dyDescent="0.3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>
        <f t="shared" si="7"/>
        <v>0</v>
      </c>
    </row>
    <row r="469" spans="1:37" x14ac:dyDescent="0.3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>
        <f t="shared" si="7"/>
        <v>0</v>
      </c>
    </row>
    <row r="470" spans="1:37" x14ac:dyDescent="0.3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>
        <f t="shared" si="7"/>
        <v>0</v>
      </c>
    </row>
    <row r="471" spans="1:37" x14ac:dyDescent="0.3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>
        <f t="shared" si="7"/>
        <v>1</v>
      </c>
    </row>
    <row r="472" spans="1:37" x14ac:dyDescent="0.3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>
        <f t="shared" si="7"/>
        <v>0</v>
      </c>
    </row>
    <row r="473" spans="1:37" x14ac:dyDescent="0.3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>
        <f t="shared" si="7"/>
        <v>0</v>
      </c>
    </row>
    <row r="474" spans="1:37" x14ac:dyDescent="0.3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>
        <f t="shared" si="7"/>
        <v>0</v>
      </c>
    </row>
    <row r="475" spans="1:37" x14ac:dyDescent="0.3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>
        <f t="shared" si="7"/>
        <v>0</v>
      </c>
    </row>
    <row r="476" spans="1:37" x14ac:dyDescent="0.3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>
        <f t="shared" si="7"/>
        <v>0</v>
      </c>
    </row>
    <row r="477" spans="1:37" x14ac:dyDescent="0.3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>
        <f t="shared" si="7"/>
        <v>0</v>
      </c>
    </row>
    <row r="478" spans="1:37" x14ac:dyDescent="0.3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>
        <f t="shared" si="7"/>
        <v>0</v>
      </c>
    </row>
    <row r="479" spans="1:37" x14ac:dyDescent="0.3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>
        <f t="shared" si="7"/>
        <v>0</v>
      </c>
    </row>
    <row r="480" spans="1:37" x14ac:dyDescent="0.3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>
        <f t="shared" si="7"/>
        <v>0</v>
      </c>
    </row>
    <row r="481" spans="1:37" x14ac:dyDescent="0.3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>
        <f t="shared" si="7"/>
        <v>1</v>
      </c>
    </row>
    <row r="482" spans="1:37" x14ac:dyDescent="0.3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>
        <f t="shared" si="7"/>
        <v>1</v>
      </c>
    </row>
    <row r="483" spans="1:37" x14ac:dyDescent="0.3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>
        <f t="shared" si="7"/>
        <v>0</v>
      </c>
    </row>
    <row r="484" spans="1:37" x14ac:dyDescent="0.3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>
        <f t="shared" si="7"/>
        <v>1</v>
      </c>
    </row>
    <row r="485" spans="1:37" x14ac:dyDescent="0.3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>
        <f t="shared" si="7"/>
        <v>0</v>
      </c>
    </row>
    <row r="486" spans="1:37" x14ac:dyDescent="0.3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>
        <f t="shared" si="7"/>
        <v>0</v>
      </c>
    </row>
    <row r="487" spans="1:37" x14ac:dyDescent="0.3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>
        <f t="shared" si="7"/>
        <v>0</v>
      </c>
    </row>
    <row r="488" spans="1:37" x14ac:dyDescent="0.3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>
        <f t="shared" si="7"/>
        <v>0</v>
      </c>
    </row>
    <row r="489" spans="1:37" x14ac:dyDescent="0.3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>
        <f t="shared" si="7"/>
        <v>0</v>
      </c>
    </row>
    <row r="490" spans="1:37" x14ac:dyDescent="0.3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>
        <f t="shared" si="7"/>
        <v>0</v>
      </c>
    </row>
    <row r="491" spans="1:37" x14ac:dyDescent="0.3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>
        <f t="shared" si="7"/>
        <v>0</v>
      </c>
    </row>
    <row r="492" spans="1:37" x14ac:dyDescent="0.3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>
        <f t="shared" si="7"/>
        <v>0</v>
      </c>
    </row>
    <row r="493" spans="1:37" x14ac:dyDescent="0.3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>
        <f t="shared" si="7"/>
        <v>0</v>
      </c>
    </row>
    <row r="494" spans="1:37" x14ac:dyDescent="0.3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>
        <f t="shared" si="7"/>
        <v>0</v>
      </c>
    </row>
    <row r="495" spans="1:37" x14ac:dyDescent="0.3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>
        <f t="shared" si="7"/>
        <v>0</v>
      </c>
    </row>
    <row r="496" spans="1:37" x14ac:dyDescent="0.3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>
        <f t="shared" si="7"/>
        <v>0</v>
      </c>
    </row>
    <row r="497" spans="1:37" x14ac:dyDescent="0.3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>
        <f t="shared" si="7"/>
        <v>1</v>
      </c>
    </row>
    <row r="498" spans="1:37" x14ac:dyDescent="0.3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>
        <f t="shared" si="7"/>
        <v>0</v>
      </c>
    </row>
    <row r="499" spans="1:37" x14ac:dyDescent="0.3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>
        <f t="shared" si="7"/>
        <v>0</v>
      </c>
    </row>
    <row r="500" spans="1:37" x14ac:dyDescent="0.3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>
        <f t="shared" si="7"/>
        <v>0</v>
      </c>
    </row>
    <row r="501" spans="1:37" x14ac:dyDescent="0.3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>
        <f t="shared" si="7"/>
        <v>0</v>
      </c>
    </row>
    <row r="502" spans="1:37" x14ac:dyDescent="0.3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>
        <f t="shared" si="7"/>
        <v>0</v>
      </c>
    </row>
    <row r="503" spans="1:37" x14ac:dyDescent="0.3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>
        <f t="shared" si="7"/>
        <v>0</v>
      </c>
    </row>
    <row r="504" spans="1:37" x14ac:dyDescent="0.3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>
        <f t="shared" si="7"/>
        <v>0</v>
      </c>
    </row>
    <row r="505" spans="1:37" x14ac:dyDescent="0.3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>
        <f t="shared" si="7"/>
        <v>0</v>
      </c>
    </row>
    <row r="506" spans="1:37" x14ac:dyDescent="0.3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>
        <f t="shared" si="7"/>
        <v>1</v>
      </c>
    </row>
    <row r="507" spans="1:37" x14ac:dyDescent="0.3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>
        <f t="shared" si="7"/>
        <v>0</v>
      </c>
    </row>
    <row r="508" spans="1:37" x14ac:dyDescent="0.3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>
        <f t="shared" si="7"/>
        <v>0</v>
      </c>
    </row>
    <row r="509" spans="1:37" x14ac:dyDescent="0.3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>
        <f t="shared" si="7"/>
        <v>0</v>
      </c>
    </row>
    <row r="510" spans="1:37" x14ac:dyDescent="0.3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>
        <f t="shared" si="7"/>
        <v>0</v>
      </c>
    </row>
    <row r="511" spans="1:37" x14ac:dyDescent="0.3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>
        <f t="shared" si="7"/>
        <v>0</v>
      </c>
    </row>
    <row r="512" spans="1:37" x14ac:dyDescent="0.3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>
        <f t="shared" si="7"/>
        <v>0</v>
      </c>
    </row>
    <row r="513" spans="1:37" x14ac:dyDescent="0.3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>
        <f t="shared" si="7"/>
        <v>0</v>
      </c>
    </row>
    <row r="514" spans="1:37" x14ac:dyDescent="0.3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>
        <f t="shared" si="7"/>
        <v>0</v>
      </c>
    </row>
    <row r="515" spans="1:37" x14ac:dyDescent="0.3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>
        <f t="shared" ref="AK515:AK578" si="8">IF(B515="Yes",1,0)</f>
        <v>1</v>
      </c>
    </row>
    <row r="516" spans="1:37" x14ac:dyDescent="0.3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>
        <f t="shared" si="8"/>
        <v>1</v>
      </c>
    </row>
    <row r="517" spans="1:37" x14ac:dyDescent="0.3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>
        <f t="shared" si="8"/>
        <v>0</v>
      </c>
    </row>
    <row r="518" spans="1:37" x14ac:dyDescent="0.3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>
        <f t="shared" si="8"/>
        <v>0</v>
      </c>
    </row>
    <row r="519" spans="1:37" x14ac:dyDescent="0.3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>
        <f t="shared" si="8"/>
        <v>0</v>
      </c>
    </row>
    <row r="520" spans="1:37" x14ac:dyDescent="0.3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>
        <f t="shared" si="8"/>
        <v>0</v>
      </c>
    </row>
    <row r="521" spans="1:37" x14ac:dyDescent="0.3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>
        <f t="shared" si="8"/>
        <v>0</v>
      </c>
    </row>
    <row r="522" spans="1:37" x14ac:dyDescent="0.3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>
        <f t="shared" si="8"/>
        <v>0</v>
      </c>
    </row>
    <row r="523" spans="1:37" x14ac:dyDescent="0.3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>
        <f t="shared" si="8"/>
        <v>0</v>
      </c>
    </row>
    <row r="524" spans="1:37" x14ac:dyDescent="0.3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>
        <f t="shared" si="8"/>
        <v>0</v>
      </c>
    </row>
    <row r="525" spans="1:37" x14ac:dyDescent="0.3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>
        <f t="shared" si="8"/>
        <v>0</v>
      </c>
    </row>
    <row r="526" spans="1:37" x14ac:dyDescent="0.3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>
        <f t="shared" si="8"/>
        <v>0</v>
      </c>
    </row>
    <row r="527" spans="1:37" x14ac:dyDescent="0.3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>
        <f t="shared" si="8"/>
        <v>1</v>
      </c>
    </row>
    <row r="528" spans="1:37" x14ac:dyDescent="0.3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>
        <f t="shared" si="8"/>
        <v>0</v>
      </c>
    </row>
    <row r="529" spans="1:37" x14ac:dyDescent="0.3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>
        <f t="shared" si="8"/>
        <v>0</v>
      </c>
    </row>
    <row r="530" spans="1:37" x14ac:dyDescent="0.3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>
        <f t="shared" si="8"/>
        <v>1</v>
      </c>
    </row>
    <row r="531" spans="1:37" x14ac:dyDescent="0.3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>
        <f t="shared" si="8"/>
        <v>0</v>
      </c>
    </row>
    <row r="532" spans="1:37" x14ac:dyDescent="0.3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>
        <f t="shared" si="8"/>
        <v>0</v>
      </c>
    </row>
    <row r="533" spans="1:37" x14ac:dyDescent="0.3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>
        <f t="shared" si="8"/>
        <v>0</v>
      </c>
    </row>
    <row r="534" spans="1:37" x14ac:dyDescent="0.3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>
        <f t="shared" si="8"/>
        <v>0</v>
      </c>
    </row>
    <row r="535" spans="1:37" x14ac:dyDescent="0.3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>
        <f t="shared" si="8"/>
        <v>0</v>
      </c>
    </row>
    <row r="536" spans="1:37" x14ac:dyDescent="0.3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>
        <f t="shared" si="8"/>
        <v>0</v>
      </c>
    </row>
    <row r="537" spans="1:37" x14ac:dyDescent="0.3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>
        <f t="shared" si="8"/>
        <v>0</v>
      </c>
    </row>
    <row r="538" spans="1:37" x14ac:dyDescent="0.3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>
        <f t="shared" si="8"/>
        <v>0</v>
      </c>
    </row>
    <row r="539" spans="1:37" x14ac:dyDescent="0.3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>
        <f t="shared" si="8"/>
        <v>0</v>
      </c>
    </row>
    <row r="540" spans="1:37" x14ac:dyDescent="0.3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>
        <f t="shared" si="8"/>
        <v>0</v>
      </c>
    </row>
    <row r="541" spans="1:37" x14ac:dyDescent="0.3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>
        <f t="shared" si="8"/>
        <v>0</v>
      </c>
    </row>
    <row r="542" spans="1:37" x14ac:dyDescent="0.3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>
        <f t="shared" si="8"/>
        <v>1</v>
      </c>
    </row>
    <row r="543" spans="1:37" x14ac:dyDescent="0.3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>
        <f t="shared" si="8"/>
        <v>0</v>
      </c>
    </row>
    <row r="544" spans="1:37" x14ac:dyDescent="0.3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>
        <f t="shared" si="8"/>
        <v>0</v>
      </c>
    </row>
    <row r="545" spans="1:37" x14ac:dyDescent="0.3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>
        <f t="shared" si="8"/>
        <v>0</v>
      </c>
    </row>
    <row r="546" spans="1:37" x14ac:dyDescent="0.3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>
        <f t="shared" si="8"/>
        <v>0</v>
      </c>
    </row>
    <row r="547" spans="1:37" x14ac:dyDescent="0.3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>
        <f t="shared" si="8"/>
        <v>0</v>
      </c>
    </row>
    <row r="548" spans="1:37" x14ac:dyDescent="0.3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>
        <f t="shared" si="8"/>
        <v>0</v>
      </c>
    </row>
    <row r="549" spans="1:37" x14ac:dyDescent="0.3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>
        <f t="shared" si="8"/>
        <v>1</v>
      </c>
    </row>
    <row r="550" spans="1:37" x14ac:dyDescent="0.3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>
        <f t="shared" si="8"/>
        <v>0</v>
      </c>
    </row>
    <row r="551" spans="1:37" x14ac:dyDescent="0.3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>
        <f t="shared" si="8"/>
        <v>0</v>
      </c>
    </row>
    <row r="552" spans="1:37" x14ac:dyDescent="0.3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>
        <f t="shared" si="8"/>
        <v>0</v>
      </c>
    </row>
    <row r="553" spans="1:37" x14ac:dyDescent="0.3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>
        <f t="shared" si="8"/>
        <v>0</v>
      </c>
    </row>
    <row r="554" spans="1:37" x14ac:dyDescent="0.3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>
        <f t="shared" si="8"/>
        <v>0</v>
      </c>
    </row>
    <row r="555" spans="1:37" x14ac:dyDescent="0.3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>
        <f t="shared" si="8"/>
        <v>0</v>
      </c>
    </row>
    <row r="556" spans="1:37" x14ac:dyDescent="0.3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>
        <f t="shared" si="8"/>
        <v>0</v>
      </c>
    </row>
    <row r="557" spans="1:37" x14ac:dyDescent="0.3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>
        <f t="shared" si="8"/>
        <v>0</v>
      </c>
    </row>
    <row r="558" spans="1:37" x14ac:dyDescent="0.3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>
        <f t="shared" si="8"/>
        <v>0</v>
      </c>
    </row>
    <row r="559" spans="1:37" x14ac:dyDescent="0.3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>
        <f t="shared" si="8"/>
        <v>0</v>
      </c>
    </row>
    <row r="560" spans="1:37" x14ac:dyDescent="0.3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>
        <f t="shared" si="8"/>
        <v>0</v>
      </c>
    </row>
    <row r="561" spans="1:37" x14ac:dyDescent="0.3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>
        <f t="shared" si="8"/>
        <v>0</v>
      </c>
    </row>
    <row r="562" spans="1:37" x14ac:dyDescent="0.3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>
        <f t="shared" si="8"/>
        <v>0</v>
      </c>
    </row>
    <row r="563" spans="1:37" x14ac:dyDescent="0.3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>
        <f t="shared" si="8"/>
        <v>0</v>
      </c>
    </row>
    <row r="564" spans="1:37" x14ac:dyDescent="0.3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>
        <f t="shared" si="8"/>
        <v>1</v>
      </c>
    </row>
    <row r="565" spans="1:37" x14ac:dyDescent="0.3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>
        <f t="shared" si="8"/>
        <v>0</v>
      </c>
    </row>
    <row r="566" spans="1:37" x14ac:dyDescent="0.3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>
        <f t="shared" si="8"/>
        <v>0</v>
      </c>
    </row>
    <row r="567" spans="1:37" x14ac:dyDescent="0.3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>
        <f t="shared" si="8"/>
        <v>0</v>
      </c>
    </row>
    <row r="568" spans="1:37" x14ac:dyDescent="0.3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>
        <f t="shared" si="8"/>
        <v>1</v>
      </c>
    </row>
    <row r="569" spans="1:37" x14ac:dyDescent="0.3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>
        <f t="shared" si="8"/>
        <v>0</v>
      </c>
    </row>
    <row r="570" spans="1:37" x14ac:dyDescent="0.3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>
        <f t="shared" si="8"/>
        <v>1</v>
      </c>
    </row>
    <row r="571" spans="1:37" x14ac:dyDescent="0.3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>
        <f t="shared" si="8"/>
        <v>0</v>
      </c>
    </row>
    <row r="572" spans="1:37" x14ac:dyDescent="0.3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>
        <f t="shared" si="8"/>
        <v>0</v>
      </c>
    </row>
    <row r="573" spans="1:37" x14ac:dyDescent="0.3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>
        <f t="shared" si="8"/>
        <v>0</v>
      </c>
    </row>
    <row r="574" spans="1:37" x14ac:dyDescent="0.3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>
        <f t="shared" si="8"/>
        <v>0</v>
      </c>
    </row>
    <row r="575" spans="1:37" x14ac:dyDescent="0.3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>
        <f t="shared" si="8"/>
        <v>1</v>
      </c>
    </row>
    <row r="576" spans="1:37" x14ac:dyDescent="0.3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>
        <f t="shared" si="8"/>
        <v>0</v>
      </c>
    </row>
    <row r="577" spans="1:37" x14ac:dyDescent="0.3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>
        <f t="shared" si="8"/>
        <v>0</v>
      </c>
    </row>
    <row r="578" spans="1:37" x14ac:dyDescent="0.3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>
        <f t="shared" si="8"/>
        <v>0</v>
      </c>
    </row>
    <row r="579" spans="1:37" x14ac:dyDescent="0.3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>
        <f t="shared" ref="AK579:AK642" si="9">IF(B579="Yes",1,0)</f>
        <v>0</v>
      </c>
    </row>
    <row r="580" spans="1:37" x14ac:dyDescent="0.3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>
        <f t="shared" si="9"/>
        <v>0</v>
      </c>
    </row>
    <row r="581" spans="1:37" x14ac:dyDescent="0.3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>
        <f t="shared" si="9"/>
        <v>0</v>
      </c>
    </row>
    <row r="582" spans="1:37" x14ac:dyDescent="0.3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>
        <f t="shared" si="9"/>
        <v>0</v>
      </c>
    </row>
    <row r="583" spans="1:37" x14ac:dyDescent="0.3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>
        <f t="shared" si="9"/>
        <v>0</v>
      </c>
    </row>
    <row r="584" spans="1:37" x14ac:dyDescent="0.3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>
        <f t="shared" si="9"/>
        <v>0</v>
      </c>
    </row>
    <row r="585" spans="1:37" x14ac:dyDescent="0.3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>
        <f t="shared" si="9"/>
        <v>0</v>
      </c>
    </row>
    <row r="586" spans="1:37" x14ac:dyDescent="0.3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>
        <f t="shared" si="9"/>
        <v>0</v>
      </c>
    </row>
    <row r="587" spans="1:37" x14ac:dyDescent="0.3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>
        <f t="shared" si="9"/>
        <v>1</v>
      </c>
    </row>
    <row r="588" spans="1:37" x14ac:dyDescent="0.3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>
        <f t="shared" si="9"/>
        <v>0</v>
      </c>
    </row>
    <row r="589" spans="1:37" x14ac:dyDescent="0.3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>
        <f t="shared" si="9"/>
        <v>0</v>
      </c>
    </row>
    <row r="590" spans="1:37" x14ac:dyDescent="0.3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>
        <f t="shared" si="9"/>
        <v>0</v>
      </c>
    </row>
    <row r="591" spans="1:37" x14ac:dyDescent="0.3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>
        <f t="shared" si="9"/>
        <v>1</v>
      </c>
    </row>
    <row r="592" spans="1:37" x14ac:dyDescent="0.3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>
        <f t="shared" si="9"/>
        <v>0</v>
      </c>
    </row>
    <row r="593" spans="1:37" x14ac:dyDescent="0.3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>
        <f t="shared" si="9"/>
        <v>1</v>
      </c>
    </row>
    <row r="594" spans="1:37" x14ac:dyDescent="0.3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>
        <f t="shared" si="9"/>
        <v>0</v>
      </c>
    </row>
    <row r="595" spans="1:37" x14ac:dyDescent="0.3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>
        <f t="shared" si="9"/>
        <v>0</v>
      </c>
    </row>
    <row r="596" spans="1:37" x14ac:dyDescent="0.3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>
        <f t="shared" si="9"/>
        <v>0</v>
      </c>
    </row>
    <row r="597" spans="1:37" x14ac:dyDescent="0.3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>
        <f t="shared" si="9"/>
        <v>1</v>
      </c>
    </row>
    <row r="598" spans="1:37" x14ac:dyDescent="0.3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>
        <f t="shared" si="9"/>
        <v>0</v>
      </c>
    </row>
    <row r="599" spans="1:37" x14ac:dyDescent="0.3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>
        <f t="shared" si="9"/>
        <v>0</v>
      </c>
    </row>
    <row r="600" spans="1:37" x14ac:dyDescent="0.3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>
        <f t="shared" si="9"/>
        <v>1</v>
      </c>
    </row>
    <row r="601" spans="1:37" x14ac:dyDescent="0.3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>
        <f t="shared" si="9"/>
        <v>0</v>
      </c>
    </row>
    <row r="602" spans="1:37" x14ac:dyDescent="0.3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>
        <f t="shared" si="9"/>
        <v>0</v>
      </c>
    </row>
    <row r="603" spans="1:37" x14ac:dyDescent="0.3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>
        <f t="shared" si="9"/>
        <v>0</v>
      </c>
    </row>
    <row r="604" spans="1:37" x14ac:dyDescent="0.3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>
        <f t="shared" si="9"/>
        <v>0</v>
      </c>
    </row>
    <row r="605" spans="1:37" x14ac:dyDescent="0.3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>
        <f t="shared" si="9"/>
        <v>0</v>
      </c>
    </row>
    <row r="606" spans="1:37" x14ac:dyDescent="0.3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>
        <f t="shared" si="9"/>
        <v>0</v>
      </c>
    </row>
    <row r="607" spans="1:37" x14ac:dyDescent="0.3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>
        <f t="shared" si="9"/>
        <v>0</v>
      </c>
    </row>
    <row r="608" spans="1:37" x14ac:dyDescent="0.3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>
        <f t="shared" si="9"/>
        <v>0</v>
      </c>
    </row>
    <row r="609" spans="1:37" x14ac:dyDescent="0.3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>
        <f t="shared" si="9"/>
        <v>1</v>
      </c>
    </row>
    <row r="610" spans="1:37" x14ac:dyDescent="0.3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>
        <f t="shared" si="9"/>
        <v>1</v>
      </c>
    </row>
    <row r="611" spans="1:37" x14ac:dyDescent="0.3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>
        <f t="shared" si="9"/>
        <v>0</v>
      </c>
    </row>
    <row r="612" spans="1:37" x14ac:dyDescent="0.3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>
        <f t="shared" si="9"/>
        <v>0</v>
      </c>
    </row>
    <row r="613" spans="1:37" x14ac:dyDescent="0.3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>
        <f t="shared" si="9"/>
        <v>0</v>
      </c>
    </row>
    <row r="614" spans="1:37" x14ac:dyDescent="0.3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>
        <f t="shared" si="9"/>
        <v>0</v>
      </c>
    </row>
    <row r="615" spans="1:37" x14ac:dyDescent="0.3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>
        <f t="shared" si="9"/>
        <v>0</v>
      </c>
    </row>
    <row r="616" spans="1:37" x14ac:dyDescent="0.3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>
        <f t="shared" si="9"/>
        <v>1</v>
      </c>
    </row>
    <row r="617" spans="1:37" x14ac:dyDescent="0.3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>
        <f t="shared" si="9"/>
        <v>0</v>
      </c>
    </row>
    <row r="618" spans="1:37" x14ac:dyDescent="0.3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>
        <f t="shared" si="9"/>
        <v>0</v>
      </c>
    </row>
    <row r="619" spans="1:37" x14ac:dyDescent="0.3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>
        <f t="shared" si="9"/>
        <v>0</v>
      </c>
    </row>
    <row r="620" spans="1:37" x14ac:dyDescent="0.3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>
        <f t="shared" si="9"/>
        <v>0</v>
      </c>
    </row>
    <row r="621" spans="1:37" x14ac:dyDescent="0.3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>
        <f t="shared" si="9"/>
        <v>0</v>
      </c>
    </row>
    <row r="622" spans="1:37" x14ac:dyDescent="0.3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>
        <f t="shared" si="9"/>
        <v>0</v>
      </c>
    </row>
    <row r="623" spans="1:37" x14ac:dyDescent="0.3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>
        <f t="shared" si="9"/>
        <v>0</v>
      </c>
    </row>
    <row r="624" spans="1:37" x14ac:dyDescent="0.3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>
        <f t="shared" si="9"/>
        <v>0</v>
      </c>
    </row>
    <row r="625" spans="1:37" x14ac:dyDescent="0.3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>
        <f t="shared" si="9"/>
        <v>0</v>
      </c>
    </row>
    <row r="626" spans="1:37" x14ac:dyDescent="0.3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>
        <f t="shared" si="9"/>
        <v>0</v>
      </c>
    </row>
    <row r="627" spans="1:37" x14ac:dyDescent="0.3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>
        <f t="shared" si="9"/>
        <v>0</v>
      </c>
    </row>
    <row r="628" spans="1:37" x14ac:dyDescent="0.3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>
        <f t="shared" si="9"/>
        <v>0</v>
      </c>
    </row>
    <row r="629" spans="1:37" x14ac:dyDescent="0.3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>
        <f t="shared" si="9"/>
        <v>0</v>
      </c>
    </row>
    <row r="630" spans="1:37" x14ac:dyDescent="0.3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>
        <f t="shared" si="9"/>
        <v>0</v>
      </c>
    </row>
    <row r="631" spans="1:37" x14ac:dyDescent="0.3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>
        <f t="shared" si="9"/>
        <v>0</v>
      </c>
    </row>
    <row r="632" spans="1:37" x14ac:dyDescent="0.3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>
        <f t="shared" si="9"/>
        <v>0</v>
      </c>
    </row>
    <row r="633" spans="1:37" x14ac:dyDescent="0.3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>
        <f t="shared" si="9"/>
        <v>0</v>
      </c>
    </row>
    <row r="634" spans="1:37" x14ac:dyDescent="0.3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>
        <f t="shared" si="9"/>
        <v>0</v>
      </c>
    </row>
    <row r="635" spans="1:37" x14ac:dyDescent="0.3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>
        <f t="shared" si="9"/>
        <v>0</v>
      </c>
    </row>
    <row r="636" spans="1:37" x14ac:dyDescent="0.3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>
        <f t="shared" si="9"/>
        <v>0</v>
      </c>
    </row>
    <row r="637" spans="1:37" x14ac:dyDescent="0.3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>
        <f t="shared" si="9"/>
        <v>0</v>
      </c>
    </row>
    <row r="638" spans="1:37" x14ac:dyDescent="0.3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>
        <f t="shared" si="9"/>
        <v>1</v>
      </c>
    </row>
    <row r="639" spans="1:37" x14ac:dyDescent="0.3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>
        <f t="shared" si="9"/>
        <v>0</v>
      </c>
    </row>
    <row r="640" spans="1:37" x14ac:dyDescent="0.3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>
        <f t="shared" si="9"/>
        <v>0</v>
      </c>
    </row>
    <row r="641" spans="1:37" x14ac:dyDescent="0.3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>
        <f t="shared" si="9"/>
        <v>0</v>
      </c>
    </row>
    <row r="642" spans="1:37" x14ac:dyDescent="0.3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>
        <f t="shared" si="9"/>
        <v>0</v>
      </c>
    </row>
    <row r="643" spans="1:37" x14ac:dyDescent="0.3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>
        <f t="shared" ref="AK643:AK706" si="10">IF(B643="Yes",1,0)</f>
        <v>0</v>
      </c>
    </row>
    <row r="644" spans="1:37" x14ac:dyDescent="0.3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>
        <f t="shared" si="10"/>
        <v>0</v>
      </c>
    </row>
    <row r="645" spans="1:37" x14ac:dyDescent="0.3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>
        <f t="shared" si="10"/>
        <v>0</v>
      </c>
    </row>
    <row r="646" spans="1:37" x14ac:dyDescent="0.3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>
        <f t="shared" si="10"/>
        <v>0</v>
      </c>
    </row>
    <row r="647" spans="1:37" x14ac:dyDescent="0.3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>
        <f t="shared" si="10"/>
        <v>1</v>
      </c>
    </row>
    <row r="648" spans="1:37" x14ac:dyDescent="0.3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>
        <f t="shared" si="10"/>
        <v>0</v>
      </c>
    </row>
    <row r="649" spans="1:37" x14ac:dyDescent="0.3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>
        <f t="shared" si="10"/>
        <v>0</v>
      </c>
    </row>
    <row r="650" spans="1:37" x14ac:dyDescent="0.3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>
        <f t="shared" si="10"/>
        <v>0</v>
      </c>
    </row>
    <row r="651" spans="1:37" x14ac:dyDescent="0.3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>
        <f t="shared" si="10"/>
        <v>0</v>
      </c>
    </row>
    <row r="652" spans="1:37" x14ac:dyDescent="0.3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>
        <f t="shared" si="10"/>
        <v>0</v>
      </c>
    </row>
    <row r="653" spans="1:37" x14ac:dyDescent="0.3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>
        <f t="shared" si="10"/>
        <v>0</v>
      </c>
    </row>
    <row r="654" spans="1:37" x14ac:dyDescent="0.3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>
        <f t="shared" si="10"/>
        <v>0</v>
      </c>
    </row>
    <row r="655" spans="1:37" x14ac:dyDescent="0.3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>
        <f t="shared" si="10"/>
        <v>0</v>
      </c>
    </row>
    <row r="656" spans="1:37" x14ac:dyDescent="0.3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>
        <f t="shared" si="10"/>
        <v>0</v>
      </c>
    </row>
    <row r="657" spans="1:37" x14ac:dyDescent="0.3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>
        <f t="shared" si="10"/>
        <v>0</v>
      </c>
    </row>
    <row r="658" spans="1:37" x14ac:dyDescent="0.3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>
        <f t="shared" si="10"/>
        <v>1</v>
      </c>
    </row>
    <row r="659" spans="1:37" x14ac:dyDescent="0.3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>
        <f t="shared" si="10"/>
        <v>0</v>
      </c>
    </row>
    <row r="660" spans="1:37" x14ac:dyDescent="0.3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>
        <f t="shared" si="10"/>
        <v>0</v>
      </c>
    </row>
    <row r="661" spans="1:37" x14ac:dyDescent="0.3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>
        <f t="shared" si="10"/>
        <v>0</v>
      </c>
    </row>
    <row r="662" spans="1:37" x14ac:dyDescent="0.3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>
        <f t="shared" si="10"/>
        <v>1</v>
      </c>
    </row>
    <row r="663" spans="1:37" x14ac:dyDescent="0.3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>
        <f t="shared" si="10"/>
        <v>0</v>
      </c>
    </row>
    <row r="664" spans="1:37" x14ac:dyDescent="0.3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>
        <f t="shared" si="10"/>
        <v>1</v>
      </c>
    </row>
    <row r="665" spans="1:37" x14ac:dyDescent="0.3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>
        <f t="shared" si="10"/>
        <v>1</v>
      </c>
    </row>
    <row r="666" spans="1:37" x14ac:dyDescent="0.3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>
        <f t="shared" si="10"/>
        <v>0</v>
      </c>
    </row>
    <row r="667" spans="1:37" x14ac:dyDescent="0.3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>
        <f t="shared" si="10"/>
        <v>0</v>
      </c>
    </row>
    <row r="668" spans="1:37" x14ac:dyDescent="0.3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>
        <f t="shared" si="10"/>
        <v>1</v>
      </c>
    </row>
    <row r="669" spans="1:37" x14ac:dyDescent="0.3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>
        <f t="shared" si="10"/>
        <v>1</v>
      </c>
    </row>
    <row r="670" spans="1:37" x14ac:dyDescent="0.3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>
        <f t="shared" si="10"/>
        <v>0</v>
      </c>
    </row>
    <row r="671" spans="1:37" x14ac:dyDescent="0.3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>
        <f t="shared" si="10"/>
        <v>1</v>
      </c>
    </row>
    <row r="672" spans="1:37" x14ac:dyDescent="0.3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>
        <f t="shared" si="10"/>
        <v>0</v>
      </c>
    </row>
    <row r="673" spans="1:37" x14ac:dyDescent="0.3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>
        <f t="shared" si="10"/>
        <v>0</v>
      </c>
    </row>
    <row r="674" spans="1:37" x14ac:dyDescent="0.3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>
        <f t="shared" si="10"/>
        <v>0</v>
      </c>
    </row>
    <row r="675" spans="1:37" x14ac:dyDescent="0.3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>
        <f t="shared" si="10"/>
        <v>0</v>
      </c>
    </row>
    <row r="676" spans="1:37" x14ac:dyDescent="0.3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>
        <f t="shared" si="10"/>
        <v>0</v>
      </c>
    </row>
    <row r="677" spans="1:37" x14ac:dyDescent="0.3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>
        <f t="shared" si="10"/>
        <v>0</v>
      </c>
    </row>
    <row r="678" spans="1:37" x14ac:dyDescent="0.3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>
        <f t="shared" si="10"/>
        <v>0</v>
      </c>
    </row>
    <row r="679" spans="1:37" x14ac:dyDescent="0.3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>
        <f t="shared" si="10"/>
        <v>0</v>
      </c>
    </row>
    <row r="680" spans="1:37" x14ac:dyDescent="0.3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>
        <f t="shared" si="10"/>
        <v>0</v>
      </c>
    </row>
    <row r="681" spans="1:37" x14ac:dyDescent="0.3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>
        <f t="shared" si="10"/>
        <v>0</v>
      </c>
    </row>
    <row r="682" spans="1:37" x14ac:dyDescent="0.3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>
        <f t="shared" si="10"/>
        <v>0</v>
      </c>
    </row>
    <row r="683" spans="1:37" x14ac:dyDescent="0.3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>
        <f t="shared" si="10"/>
        <v>0</v>
      </c>
    </row>
    <row r="684" spans="1:37" x14ac:dyDescent="0.3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>
        <f t="shared" si="10"/>
        <v>0</v>
      </c>
    </row>
    <row r="685" spans="1:37" x14ac:dyDescent="0.3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>
        <f t="shared" si="10"/>
        <v>1</v>
      </c>
    </row>
    <row r="686" spans="1:37" x14ac:dyDescent="0.3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>
        <f t="shared" si="10"/>
        <v>0</v>
      </c>
    </row>
    <row r="687" spans="1:37" x14ac:dyDescent="0.3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>
        <f t="shared" si="10"/>
        <v>0</v>
      </c>
    </row>
    <row r="688" spans="1:37" x14ac:dyDescent="0.3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>
        <f t="shared" si="10"/>
        <v>0</v>
      </c>
    </row>
    <row r="689" spans="1:37" x14ac:dyDescent="0.3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>
        <f t="shared" si="10"/>
        <v>0</v>
      </c>
    </row>
    <row r="690" spans="1:37" x14ac:dyDescent="0.3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>
        <f t="shared" si="10"/>
        <v>1</v>
      </c>
    </row>
    <row r="691" spans="1:37" x14ac:dyDescent="0.3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>
        <f t="shared" si="10"/>
        <v>1</v>
      </c>
    </row>
    <row r="692" spans="1:37" x14ac:dyDescent="0.3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>
        <f t="shared" si="10"/>
        <v>0</v>
      </c>
    </row>
    <row r="693" spans="1:37" x14ac:dyDescent="0.3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>
        <f t="shared" si="10"/>
        <v>0</v>
      </c>
    </row>
    <row r="694" spans="1:37" x14ac:dyDescent="0.3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>
        <f t="shared" si="10"/>
        <v>0</v>
      </c>
    </row>
    <row r="695" spans="1:37" x14ac:dyDescent="0.3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>
        <f t="shared" si="10"/>
        <v>1</v>
      </c>
    </row>
    <row r="696" spans="1:37" x14ac:dyDescent="0.3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>
        <f t="shared" si="10"/>
        <v>0</v>
      </c>
    </row>
    <row r="697" spans="1:37" x14ac:dyDescent="0.3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>
        <f t="shared" si="10"/>
        <v>1</v>
      </c>
    </row>
    <row r="698" spans="1:37" x14ac:dyDescent="0.3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>
        <f t="shared" si="10"/>
        <v>0</v>
      </c>
    </row>
    <row r="699" spans="1:37" x14ac:dyDescent="0.3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>
        <f t="shared" si="10"/>
        <v>0</v>
      </c>
    </row>
    <row r="700" spans="1:37" x14ac:dyDescent="0.3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>
        <f t="shared" si="10"/>
        <v>0</v>
      </c>
    </row>
    <row r="701" spans="1:37" x14ac:dyDescent="0.3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>
        <f t="shared" si="10"/>
        <v>0</v>
      </c>
    </row>
    <row r="702" spans="1:37" x14ac:dyDescent="0.3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>
        <f t="shared" si="10"/>
        <v>1</v>
      </c>
    </row>
    <row r="703" spans="1:37" x14ac:dyDescent="0.3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>
        <f t="shared" si="10"/>
        <v>0</v>
      </c>
    </row>
    <row r="704" spans="1:37" x14ac:dyDescent="0.3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>
        <f t="shared" si="10"/>
        <v>0</v>
      </c>
    </row>
    <row r="705" spans="1:37" x14ac:dyDescent="0.3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>
        <f t="shared" si="10"/>
        <v>0</v>
      </c>
    </row>
    <row r="706" spans="1:37" x14ac:dyDescent="0.3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>
        <f t="shared" si="10"/>
        <v>0</v>
      </c>
    </row>
    <row r="707" spans="1:37" x14ac:dyDescent="0.3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>
        <f t="shared" ref="AK707:AK770" si="11">IF(B707="Yes",1,0)</f>
        <v>0</v>
      </c>
    </row>
    <row r="708" spans="1:37" x14ac:dyDescent="0.3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>
        <f t="shared" si="11"/>
        <v>1</v>
      </c>
    </row>
    <row r="709" spans="1:37" x14ac:dyDescent="0.3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>
        <f t="shared" si="11"/>
        <v>0</v>
      </c>
    </row>
    <row r="710" spans="1:37" x14ac:dyDescent="0.3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>
        <f t="shared" si="11"/>
        <v>0</v>
      </c>
    </row>
    <row r="711" spans="1:37" x14ac:dyDescent="0.3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>
        <f t="shared" si="11"/>
        <v>1</v>
      </c>
    </row>
    <row r="712" spans="1:37" x14ac:dyDescent="0.3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>
        <f t="shared" si="11"/>
        <v>0</v>
      </c>
    </row>
    <row r="713" spans="1:37" x14ac:dyDescent="0.3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>
        <f t="shared" si="11"/>
        <v>1</v>
      </c>
    </row>
    <row r="714" spans="1:37" x14ac:dyDescent="0.3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>
        <f t="shared" si="11"/>
        <v>0</v>
      </c>
    </row>
    <row r="715" spans="1:37" x14ac:dyDescent="0.3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>
        <f t="shared" si="11"/>
        <v>0</v>
      </c>
    </row>
    <row r="716" spans="1:37" x14ac:dyDescent="0.3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>
        <f t="shared" si="11"/>
        <v>0</v>
      </c>
    </row>
    <row r="717" spans="1:37" x14ac:dyDescent="0.3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>
        <f t="shared" si="11"/>
        <v>0</v>
      </c>
    </row>
    <row r="718" spans="1:37" x14ac:dyDescent="0.3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>
        <f t="shared" si="11"/>
        <v>0</v>
      </c>
    </row>
    <row r="719" spans="1:37" x14ac:dyDescent="0.3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>
        <f t="shared" si="11"/>
        <v>0</v>
      </c>
    </row>
    <row r="720" spans="1:37" x14ac:dyDescent="0.3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>
        <f t="shared" si="11"/>
        <v>0</v>
      </c>
    </row>
    <row r="721" spans="1:37" x14ac:dyDescent="0.3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>
        <f t="shared" si="11"/>
        <v>0</v>
      </c>
    </row>
    <row r="722" spans="1:37" x14ac:dyDescent="0.3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>
        <f t="shared" si="11"/>
        <v>1</v>
      </c>
    </row>
    <row r="723" spans="1:37" x14ac:dyDescent="0.3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>
        <f t="shared" si="11"/>
        <v>0</v>
      </c>
    </row>
    <row r="724" spans="1:37" x14ac:dyDescent="0.3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>
        <f t="shared" si="11"/>
        <v>0</v>
      </c>
    </row>
    <row r="725" spans="1:37" x14ac:dyDescent="0.3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>
        <f t="shared" si="11"/>
        <v>0</v>
      </c>
    </row>
    <row r="726" spans="1:37" x14ac:dyDescent="0.3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>
        <f t="shared" si="11"/>
        <v>0</v>
      </c>
    </row>
    <row r="727" spans="1:37" x14ac:dyDescent="0.3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>
        <f t="shared" si="11"/>
        <v>1</v>
      </c>
    </row>
    <row r="728" spans="1:37" x14ac:dyDescent="0.3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>
        <f t="shared" si="11"/>
        <v>0</v>
      </c>
    </row>
    <row r="729" spans="1:37" x14ac:dyDescent="0.3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>
        <f t="shared" si="11"/>
        <v>0</v>
      </c>
    </row>
    <row r="730" spans="1:37" x14ac:dyDescent="0.3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>
        <f t="shared" si="11"/>
        <v>0</v>
      </c>
    </row>
    <row r="731" spans="1:37" x14ac:dyDescent="0.3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>
        <f t="shared" si="11"/>
        <v>0</v>
      </c>
    </row>
    <row r="732" spans="1:37" x14ac:dyDescent="0.3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>
        <f t="shared" si="11"/>
        <v>0</v>
      </c>
    </row>
    <row r="733" spans="1:37" x14ac:dyDescent="0.3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>
        <f t="shared" si="11"/>
        <v>1</v>
      </c>
    </row>
    <row r="734" spans="1:37" x14ac:dyDescent="0.3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>
        <f t="shared" si="11"/>
        <v>1</v>
      </c>
    </row>
    <row r="735" spans="1:37" x14ac:dyDescent="0.3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>
        <f t="shared" si="11"/>
        <v>0</v>
      </c>
    </row>
    <row r="736" spans="1:37" x14ac:dyDescent="0.3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>
        <f t="shared" si="11"/>
        <v>0</v>
      </c>
    </row>
    <row r="737" spans="1:37" x14ac:dyDescent="0.3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>
        <f t="shared" si="11"/>
        <v>0</v>
      </c>
    </row>
    <row r="738" spans="1:37" x14ac:dyDescent="0.3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>
        <f t="shared" si="11"/>
        <v>0</v>
      </c>
    </row>
    <row r="739" spans="1:37" x14ac:dyDescent="0.3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>
        <f t="shared" si="11"/>
        <v>0</v>
      </c>
    </row>
    <row r="740" spans="1:37" x14ac:dyDescent="0.3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>
        <f t="shared" si="11"/>
        <v>0</v>
      </c>
    </row>
    <row r="741" spans="1:37" x14ac:dyDescent="0.3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>
        <f t="shared" si="11"/>
        <v>0</v>
      </c>
    </row>
    <row r="742" spans="1:37" x14ac:dyDescent="0.3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>
        <f t="shared" si="11"/>
        <v>0</v>
      </c>
    </row>
    <row r="743" spans="1:37" x14ac:dyDescent="0.3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>
        <f t="shared" si="11"/>
        <v>0</v>
      </c>
    </row>
    <row r="744" spans="1:37" x14ac:dyDescent="0.3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>
        <f t="shared" si="11"/>
        <v>0</v>
      </c>
    </row>
    <row r="745" spans="1:37" x14ac:dyDescent="0.3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>
        <f t="shared" si="11"/>
        <v>0</v>
      </c>
    </row>
    <row r="746" spans="1:37" x14ac:dyDescent="0.3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>
        <f t="shared" si="11"/>
        <v>1</v>
      </c>
    </row>
    <row r="747" spans="1:37" x14ac:dyDescent="0.3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>
        <f t="shared" si="11"/>
        <v>0</v>
      </c>
    </row>
    <row r="748" spans="1:37" x14ac:dyDescent="0.3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>
        <f t="shared" si="11"/>
        <v>0</v>
      </c>
    </row>
    <row r="749" spans="1:37" x14ac:dyDescent="0.3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>
        <f t="shared" si="11"/>
        <v>0</v>
      </c>
    </row>
    <row r="750" spans="1:37" x14ac:dyDescent="0.3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>
        <f t="shared" si="11"/>
        <v>1</v>
      </c>
    </row>
    <row r="751" spans="1:37" x14ac:dyDescent="0.3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>
        <f t="shared" si="11"/>
        <v>1</v>
      </c>
    </row>
    <row r="752" spans="1:37" x14ac:dyDescent="0.3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>
        <f t="shared" si="11"/>
        <v>0</v>
      </c>
    </row>
    <row r="753" spans="1:37" x14ac:dyDescent="0.3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>
        <f t="shared" si="11"/>
        <v>0</v>
      </c>
    </row>
    <row r="754" spans="1:37" x14ac:dyDescent="0.3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>
        <f t="shared" si="11"/>
        <v>1</v>
      </c>
    </row>
    <row r="755" spans="1:37" x14ac:dyDescent="0.3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>
        <f t="shared" si="11"/>
        <v>0</v>
      </c>
    </row>
    <row r="756" spans="1:37" x14ac:dyDescent="0.3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>
        <f t="shared" si="11"/>
        <v>0</v>
      </c>
    </row>
    <row r="757" spans="1:37" x14ac:dyDescent="0.3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>
        <f t="shared" si="11"/>
        <v>0</v>
      </c>
    </row>
    <row r="758" spans="1:37" x14ac:dyDescent="0.3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>
        <f t="shared" si="11"/>
        <v>0</v>
      </c>
    </row>
    <row r="759" spans="1:37" x14ac:dyDescent="0.3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>
        <f t="shared" si="11"/>
        <v>0</v>
      </c>
    </row>
    <row r="760" spans="1:37" x14ac:dyDescent="0.3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>
        <f t="shared" si="11"/>
        <v>0</v>
      </c>
    </row>
    <row r="761" spans="1:37" x14ac:dyDescent="0.3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>
        <f t="shared" si="11"/>
        <v>0</v>
      </c>
    </row>
    <row r="762" spans="1:37" x14ac:dyDescent="0.3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>
        <f t="shared" si="11"/>
        <v>0</v>
      </c>
    </row>
    <row r="763" spans="1:37" x14ac:dyDescent="0.3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>
        <f t="shared" si="11"/>
        <v>1</v>
      </c>
    </row>
    <row r="764" spans="1:37" x14ac:dyDescent="0.3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>
        <f t="shared" si="11"/>
        <v>1</v>
      </c>
    </row>
    <row r="765" spans="1:37" x14ac:dyDescent="0.3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>
        <f t="shared" si="11"/>
        <v>0</v>
      </c>
    </row>
    <row r="766" spans="1:37" x14ac:dyDescent="0.3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>
        <f t="shared" si="11"/>
        <v>0</v>
      </c>
    </row>
    <row r="767" spans="1:37" x14ac:dyDescent="0.3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>
        <f t="shared" si="11"/>
        <v>0</v>
      </c>
    </row>
    <row r="768" spans="1:37" x14ac:dyDescent="0.3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>
        <f t="shared" si="11"/>
        <v>0</v>
      </c>
    </row>
    <row r="769" spans="1:37" x14ac:dyDescent="0.3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>
        <f t="shared" si="11"/>
        <v>0</v>
      </c>
    </row>
    <row r="770" spans="1:37" x14ac:dyDescent="0.3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>
        <f t="shared" si="11"/>
        <v>0</v>
      </c>
    </row>
    <row r="771" spans="1:37" x14ac:dyDescent="0.3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>
        <f t="shared" ref="AK771:AK834" si="12">IF(B771="Yes",1,0)</f>
        <v>0</v>
      </c>
    </row>
    <row r="772" spans="1:37" x14ac:dyDescent="0.3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>
        <f t="shared" si="12"/>
        <v>0</v>
      </c>
    </row>
    <row r="773" spans="1:37" x14ac:dyDescent="0.3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>
        <f t="shared" si="12"/>
        <v>0</v>
      </c>
    </row>
    <row r="774" spans="1:37" x14ac:dyDescent="0.3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>
        <f t="shared" si="12"/>
        <v>0</v>
      </c>
    </row>
    <row r="775" spans="1:37" x14ac:dyDescent="0.3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>
        <f t="shared" si="12"/>
        <v>0</v>
      </c>
    </row>
    <row r="776" spans="1:37" x14ac:dyDescent="0.3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>
        <f t="shared" si="12"/>
        <v>0</v>
      </c>
    </row>
    <row r="777" spans="1:37" x14ac:dyDescent="0.3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>
        <f t="shared" si="12"/>
        <v>0</v>
      </c>
    </row>
    <row r="778" spans="1:37" x14ac:dyDescent="0.3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>
        <f t="shared" si="12"/>
        <v>1</v>
      </c>
    </row>
    <row r="779" spans="1:37" x14ac:dyDescent="0.3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>
        <f t="shared" si="12"/>
        <v>1</v>
      </c>
    </row>
    <row r="780" spans="1:37" x14ac:dyDescent="0.3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>
        <f t="shared" si="12"/>
        <v>0</v>
      </c>
    </row>
    <row r="781" spans="1:37" x14ac:dyDescent="0.3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>
        <f t="shared" si="12"/>
        <v>1</v>
      </c>
    </row>
    <row r="782" spans="1:37" x14ac:dyDescent="0.3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>
        <f t="shared" si="12"/>
        <v>1</v>
      </c>
    </row>
    <row r="783" spans="1:37" x14ac:dyDescent="0.3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>
        <f t="shared" si="12"/>
        <v>0</v>
      </c>
    </row>
    <row r="784" spans="1:37" x14ac:dyDescent="0.3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>
        <f t="shared" si="12"/>
        <v>0</v>
      </c>
    </row>
    <row r="785" spans="1:37" x14ac:dyDescent="0.3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>
        <f t="shared" si="12"/>
        <v>0</v>
      </c>
    </row>
    <row r="786" spans="1:37" x14ac:dyDescent="0.3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>
        <f t="shared" si="12"/>
        <v>0</v>
      </c>
    </row>
    <row r="787" spans="1:37" x14ac:dyDescent="0.3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>
        <f t="shared" si="12"/>
        <v>0</v>
      </c>
    </row>
    <row r="788" spans="1:37" x14ac:dyDescent="0.3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>
        <f t="shared" si="12"/>
        <v>0</v>
      </c>
    </row>
    <row r="789" spans="1:37" x14ac:dyDescent="0.3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>
        <f t="shared" si="12"/>
        <v>0</v>
      </c>
    </row>
    <row r="790" spans="1:37" x14ac:dyDescent="0.3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>
        <f t="shared" si="12"/>
        <v>0</v>
      </c>
    </row>
    <row r="791" spans="1:37" x14ac:dyDescent="0.3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>
        <f t="shared" si="12"/>
        <v>1</v>
      </c>
    </row>
    <row r="792" spans="1:37" x14ac:dyDescent="0.3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>
        <f t="shared" si="12"/>
        <v>0</v>
      </c>
    </row>
    <row r="793" spans="1:37" x14ac:dyDescent="0.3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>
        <f t="shared" si="12"/>
        <v>1</v>
      </c>
    </row>
    <row r="794" spans="1:37" x14ac:dyDescent="0.3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>
        <f t="shared" si="12"/>
        <v>1</v>
      </c>
    </row>
    <row r="795" spans="1:37" x14ac:dyDescent="0.3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>
        <f t="shared" si="12"/>
        <v>0</v>
      </c>
    </row>
    <row r="796" spans="1:37" x14ac:dyDescent="0.3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>
        <f t="shared" si="12"/>
        <v>0</v>
      </c>
    </row>
    <row r="797" spans="1:37" x14ac:dyDescent="0.3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>
        <f t="shared" si="12"/>
        <v>0</v>
      </c>
    </row>
    <row r="798" spans="1:37" x14ac:dyDescent="0.3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>
        <f t="shared" si="12"/>
        <v>1</v>
      </c>
    </row>
    <row r="799" spans="1:37" x14ac:dyDescent="0.3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>
        <f t="shared" si="12"/>
        <v>1</v>
      </c>
    </row>
    <row r="800" spans="1:37" x14ac:dyDescent="0.3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>
        <f t="shared" si="12"/>
        <v>1</v>
      </c>
    </row>
    <row r="801" spans="1:37" x14ac:dyDescent="0.3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>
        <f t="shared" si="12"/>
        <v>0</v>
      </c>
    </row>
    <row r="802" spans="1:37" x14ac:dyDescent="0.3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>
        <f t="shared" si="12"/>
        <v>1</v>
      </c>
    </row>
    <row r="803" spans="1:37" x14ac:dyDescent="0.3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>
        <f t="shared" si="12"/>
        <v>1</v>
      </c>
    </row>
    <row r="804" spans="1:37" x14ac:dyDescent="0.3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>
        <f t="shared" si="12"/>
        <v>0</v>
      </c>
    </row>
    <row r="805" spans="1:37" x14ac:dyDescent="0.3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>
        <f t="shared" si="12"/>
        <v>0</v>
      </c>
    </row>
    <row r="806" spans="1:37" x14ac:dyDescent="0.3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>
        <f t="shared" si="12"/>
        <v>0</v>
      </c>
    </row>
    <row r="807" spans="1:37" x14ac:dyDescent="0.3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>
        <f t="shared" si="12"/>
        <v>0</v>
      </c>
    </row>
    <row r="808" spans="1:37" x14ac:dyDescent="0.3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>
        <f t="shared" si="12"/>
        <v>0</v>
      </c>
    </row>
    <row r="809" spans="1:37" x14ac:dyDescent="0.3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>
        <f t="shared" si="12"/>
        <v>0</v>
      </c>
    </row>
    <row r="810" spans="1:37" x14ac:dyDescent="0.3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>
        <f t="shared" si="12"/>
        <v>0</v>
      </c>
    </row>
    <row r="811" spans="1:37" x14ac:dyDescent="0.3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>
        <f t="shared" si="12"/>
        <v>0</v>
      </c>
    </row>
    <row r="812" spans="1:37" x14ac:dyDescent="0.3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>
        <f t="shared" si="12"/>
        <v>0</v>
      </c>
    </row>
    <row r="813" spans="1:37" x14ac:dyDescent="0.3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>
        <f t="shared" si="12"/>
        <v>0</v>
      </c>
    </row>
    <row r="814" spans="1:37" x14ac:dyDescent="0.3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>
        <f t="shared" si="12"/>
        <v>0</v>
      </c>
    </row>
    <row r="815" spans="1:37" x14ac:dyDescent="0.3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>
        <f t="shared" si="12"/>
        <v>1</v>
      </c>
    </row>
    <row r="816" spans="1:37" x14ac:dyDescent="0.3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>
        <f t="shared" si="12"/>
        <v>0</v>
      </c>
    </row>
    <row r="817" spans="1:37" x14ac:dyDescent="0.3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>
        <f t="shared" si="12"/>
        <v>0</v>
      </c>
    </row>
    <row r="818" spans="1:37" x14ac:dyDescent="0.3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>
        <f t="shared" si="12"/>
        <v>0</v>
      </c>
    </row>
    <row r="819" spans="1:37" x14ac:dyDescent="0.3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>
        <f t="shared" si="12"/>
        <v>0</v>
      </c>
    </row>
    <row r="820" spans="1:37" x14ac:dyDescent="0.3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>
        <f t="shared" si="12"/>
        <v>0</v>
      </c>
    </row>
    <row r="821" spans="1:37" x14ac:dyDescent="0.3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>
        <f t="shared" si="12"/>
        <v>0</v>
      </c>
    </row>
    <row r="822" spans="1:37" x14ac:dyDescent="0.3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>
        <f t="shared" si="12"/>
        <v>0</v>
      </c>
    </row>
    <row r="823" spans="1:37" x14ac:dyDescent="0.3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>
        <f t="shared" si="12"/>
        <v>0</v>
      </c>
    </row>
    <row r="824" spans="1:37" x14ac:dyDescent="0.3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>
        <f t="shared" si="12"/>
        <v>0</v>
      </c>
    </row>
    <row r="825" spans="1:37" x14ac:dyDescent="0.3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>
        <f t="shared" si="12"/>
        <v>0</v>
      </c>
    </row>
    <row r="826" spans="1:37" x14ac:dyDescent="0.3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>
        <f t="shared" si="12"/>
        <v>0</v>
      </c>
    </row>
    <row r="827" spans="1:37" x14ac:dyDescent="0.3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>
        <f t="shared" si="12"/>
        <v>0</v>
      </c>
    </row>
    <row r="828" spans="1:37" x14ac:dyDescent="0.3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>
        <f t="shared" si="12"/>
        <v>0</v>
      </c>
    </row>
    <row r="829" spans="1:37" x14ac:dyDescent="0.3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>
        <f t="shared" si="12"/>
        <v>0</v>
      </c>
    </row>
    <row r="830" spans="1:37" x14ac:dyDescent="0.3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>
        <f t="shared" si="12"/>
        <v>1</v>
      </c>
    </row>
    <row r="831" spans="1:37" x14ac:dyDescent="0.3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>
        <f t="shared" si="12"/>
        <v>1</v>
      </c>
    </row>
    <row r="832" spans="1:37" x14ac:dyDescent="0.3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>
        <f t="shared" si="12"/>
        <v>0</v>
      </c>
    </row>
    <row r="833" spans="1:37" x14ac:dyDescent="0.3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>
        <f t="shared" si="12"/>
        <v>1</v>
      </c>
    </row>
    <row r="834" spans="1:37" x14ac:dyDescent="0.3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>
        <f t="shared" si="12"/>
        <v>0</v>
      </c>
    </row>
    <row r="835" spans="1:37" x14ac:dyDescent="0.3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>
        <f t="shared" ref="AK835:AK898" si="13">IF(B835="Yes",1,0)</f>
        <v>0</v>
      </c>
    </row>
    <row r="836" spans="1:37" x14ac:dyDescent="0.3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>
        <f t="shared" si="13"/>
        <v>0</v>
      </c>
    </row>
    <row r="837" spans="1:37" x14ac:dyDescent="0.3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>
        <f t="shared" si="13"/>
        <v>0</v>
      </c>
    </row>
    <row r="838" spans="1:37" x14ac:dyDescent="0.3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>
        <f t="shared" si="13"/>
        <v>1</v>
      </c>
    </row>
    <row r="839" spans="1:37" x14ac:dyDescent="0.3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>
        <f t="shared" si="13"/>
        <v>0</v>
      </c>
    </row>
    <row r="840" spans="1:37" x14ac:dyDescent="0.3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>
        <f t="shared" si="13"/>
        <v>1</v>
      </c>
    </row>
    <row r="841" spans="1:37" x14ac:dyDescent="0.3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>
        <f t="shared" si="13"/>
        <v>0</v>
      </c>
    </row>
    <row r="842" spans="1:37" x14ac:dyDescent="0.3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>
        <f t="shared" si="13"/>
        <v>0</v>
      </c>
    </row>
    <row r="843" spans="1:37" x14ac:dyDescent="0.3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>
        <f t="shared" si="13"/>
        <v>0</v>
      </c>
    </row>
    <row r="844" spans="1:37" x14ac:dyDescent="0.3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>
        <f t="shared" si="13"/>
        <v>1</v>
      </c>
    </row>
    <row r="845" spans="1:37" x14ac:dyDescent="0.3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>
        <f t="shared" si="13"/>
        <v>0</v>
      </c>
    </row>
    <row r="846" spans="1:37" x14ac:dyDescent="0.3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>
        <f t="shared" si="13"/>
        <v>0</v>
      </c>
    </row>
    <row r="847" spans="1:37" x14ac:dyDescent="0.3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>
        <f t="shared" si="13"/>
        <v>0</v>
      </c>
    </row>
    <row r="848" spans="1:37" x14ac:dyDescent="0.3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>
        <f t="shared" si="13"/>
        <v>0</v>
      </c>
    </row>
    <row r="849" spans="1:37" x14ac:dyDescent="0.3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>
        <f t="shared" si="13"/>
        <v>0</v>
      </c>
    </row>
    <row r="850" spans="1:37" x14ac:dyDescent="0.3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>
        <f t="shared" si="13"/>
        <v>0</v>
      </c>
    </row>
    <row r="851" spans="1:37" x14ac:dyDescent="0.3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>
        <f t="shared" si="13"/>
        <v>1</v>
      </c>
    </row>
    <row r="852" spans="1:37" x14ac:dyDescent="0.3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>
        <f t="shared" si="13"/>
        <v>0</v>
      </c>
    </row>
    <row r="853" spans="1:37" x14ac:dyDescent="0.3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>
        <f t="shared" si="13"/>
        <v>0</v>
      </c>
    </row>
    <row r="854" spans="1:37" x14ac:dyDescent="0.3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>
        <f t="shared" si="13"/>
        <v>0</v>
      </c>
    </row>
    <row r="855" spans="1:37" x14ac:dyDescent="0.3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>
        <f t="shared" si="13"/>
        <v>0</v>
      </c>
    </row>
    <row r="856" spans="1:37" x14ac:dyDescent="0.3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>
        <f t="shared" si="13"/>
        <v>0</v>
      </c>
    </row>
    <row r="857" spans="1:37" x14ac:dyDescent="0.3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>
        <f t="shared" si="13"/>
        <v>0</v>
      </c>
    </row>
    <row r="858" spans="1:37" x14ac:dyDescent="0.3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>
        <f t="shared" si="13"/>
        <v>0</v>
      </c>
    </row>
    <row r="859" spans="1:37" x14ac:dyDescent="0.3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>
        <f t="shared" si="13"/>
        <v>1</v>
      </c>
    </row>
    <row r="860" spans="1:37" x14ac:dyDescent="0.3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>
        <f t="shared" si="13"/>
        <v>0</v>
      </c>
    </row>
    <row r="861" spans="1:37" x14ac:dyDescent="0.3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>
        <f t="shared" si="13"/>
        <v>0</v>
      </c>
    </row>
    <row r="862" spans="1:37" x14ac:dyDescent="0.3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>
        <f t="shared" si="13"/>
        <v>1</v>
      </c>
    </row>
    <row r="863" spans="1:37" x14ac:dyDescent="0.3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>
        <f t="shared" si="13"/>
        <v>0</v>
      </c>
    </row>
    <row r="864" spans="1:37" x14ac:dyDescent="0.3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>
        <f t="shared" si="13"/>
        <v>0</v>
      </c>
    </row>
    <row r="865" spans="1:37" x14ac:dyDescent="0.3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>
        <f t="shared" si="13"/>
        <v>0</v>
      </c>
    </row>
    <row r="866" spans="1:37" x14ac:dyDescent="0.3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>
        <f t="shared" si="13"/>
        <v>1</v>
      </c>
    </row>
    <row r="867" spans="1:37" x14ac:dyDescent="0.3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>
        <f t="shared" si="13"/>
        <v>0</v>
      </c>
    </row>
    <row r="868" spans="1:37" x14ac:dyDescent="0.3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>
        <f t="shared" si="13"/>
        <v>0</v>
      </c>
    </row>
    <row r="869" spans="1:37" x14ac:dyDescent="0.3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>
        <f t="shared" si="13"/>
        <v>0</v>
      </c>
    </row>
    <row r="870" spans="1:37" x14ac:dyDescent="0.3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>
        <f t="shared" si="13"/>
        <v>0</v>
      </c>
    </row>
    <row r="871" spans="1:37" x14ac:dyDescent="0.3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>
        <f t="shared" si="13"/>
        <v>0</v>
      </c>
    </row>
    <row r="872" spans="1:37" x14ac:dyDescent="0.3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>
        <f t="shared" si="13"/>
        <v>0</v>
      </c>
    </row>
    <row r="873" spans="1:37" x14ac:dyDescent="0.3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>
        <f t="shared" si="13"/>
        <v>1</v>
      </c>
    </row>
    <row r="874" spans="1:37" x14ac:dyDescent="0.3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>
        <f t="shared" si="13"/>
        <v>0</v>
      </c>
    </row>
    <row r="875" spans="1:37" x14ac:dyDescent="0.3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>
        <f t="shared" si="13"/>
        <v>0</v>
      </c>
    </row>
    <row r="876" spans="1:37" x14ac:dyDescent="0.3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>
        <f t="shared" si="13"/>
        <v>0</v>
      </c>
    </row>
    <row r="877" spans="1:37" x14ac:dyDescent="0.3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>
        <f t="shared" si="13"/>
        <v>0</v>
      </c>
    </row>
    <row r="878" spans="1:37" x14ac:dyDescent="0.3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>
        <f t="shared" si="13"/>
        <v>0</v>
      </c>
    </row>
    <row r="879" spans="1:37" x14ac:dyDescent="0.3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>
        <f t="shared" si="13"/>
        <v>0</v>
      </c>
    </row>
    <row r="880" spans="1:37" x14ac:dyDescent="0.3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>
        <f t="shared" si="13"/>
        <v>0</v>
      </c>
    </row>
    <row r="881" spans="1:37" x14ac:dyDescent="0.3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>
        <f t="shared" si="13"/>
        <v>0</v>
      </c>
    </row>
    <row r="882" spans="1:37" x14ac:dyDescent="0.3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>
        <f t="shared" si="13"/>
        <v>0</v>
      </c>
    </row>
    <row r="883" spans="1:37" x14ac:dyDescent="0.3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>
        <f t="shared" si="13"/>
        <v>0</v>
      </c>
    </row>
    <row r="884" spans="1:37" x14ac:dyDescent="0.3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>
        <f t="shared" si="13"/>
        <v>0</v>
      </c>
    </row>
    <row r="885" spans="1:37" x14ac:dyDescent="0.3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>
        <f t="shared" si="13"/>
        <v>0</v>
      </c>
    </row>
    <row r="886" spans="1:37" x14ac:dyDescent="0.3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>
        <f t="shared" si="13"/>
        <v>0</v>
      </c>
    </row>
    <row r="887" spans="1:37" x14ac:dyDescent="0.3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>
        <f t="shared" si="13"/>
        <v>0</v>
      </c>
    </row>
    <row r="888" spans="1:37" x14ac:dyDescent="0.3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>
        <f t="shared" si="13"/>
        <v>0</v>
      </c>
    </row>
    <row r="889" spans="1:37" x14ac:dyDescent="0.3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>
        <f t="shared" si="13"/>
        <v>0</v>
      </c>
    </row>
    <row r="890" spans="1:37" x14ac:dyDescent="0.3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>
        <f t="shared" si="13"/>
        <v>0</v>
      </c>
    </row>
    <row r="891" spans="1:37" x14ac:dyDescent="0.3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>
        <f t="shared" si="13"/>
        <v>0</v>
      </c>
    </row>
    <row r="892" spans="1:37" x14ac:dyDescent="0.3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>
        <f t="shared" si="13"/>
        <v>0</v>
      </c>
    </row>
    <row r="893" spans="1:37" x14ac:dyDescent="0.3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>
        <f t="shared" si="13"/>
        <v>0</v>
      </c>
    </row>
    <row r="894" spans="1:37" x14ac:dyDescent="0.3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>
        <f t="shared" si="13"/>
        <v>1</v>
      </c>
    </row>
    <row r="895" spans="1:37" x14ac:dyDescent="0.3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>
        <f t="shared" si="13"/>
        <v>0</v>
      </c>
    </row>
    <row r="896" spans="1:37" x14ac:dyDescent="0.3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>
        <f t="shared" si="13"/>
        <v>0</v>
      </c>
    </row>
    <row r="897" spans="1:37" x14ac:dyDescent="0.3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>
        <f t="shared" si="13"/>
        <v>0</v>
      </c>
    </row>
    <row r="898" spans="1:37" x14ac:dyDescent="0.3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>
        <f t="shared" si="13"/>
        <v>0</v>
      </c>
    </row>
    <row r="899" spans="1:37" x14ac:dyDescent="0.3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>
        <f t="shared" ref="AK899:AK962" si="14">IF(B899="Yes",1,0)</f>
        <v>0</v>
      </c>
    </row>
    <row r="900" spans="1:37" x14ac:dyDescent="0.3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>
        <f t="shared" si="14"/>
        <v>0</v>
      </c>
    </row>
    <row r="901" spans="1:37" x14ac:dyDescent="0.3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>
        <f t="shared" si="14"/>
        <v>0</v>
      </c>
    </row>
    <row r="902" spans="1:37" x14ac:dyDescent="0.3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>
        <f t="shared" si="14"/>
        <v>0</v>
      </c>
    </row>
    <row r="903" spans="1:37" x14ac:dyDescent="0.3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>
        <f t="shared" si="14"/>
        <v>0</v>
      </c>
    </row>
    <row r="904" spans="1:37" x14ac:dyDescent="0.3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>
        <f t="shared" si="14"/>
        <v>0</v>
      </c>
    </row>
    <row r="905" spans="1:37" x14ac:dyDescent="0.3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>
        <f t="shared" si="14"/>
        <v>0</v>
      </c>
    </row>
    <row r="906" spans="1:37" x14ac:dyDescent="0.3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>
        <f t="shared" si="14"/>
        <v>0</v>
      </c>
    </row>
    <row r="907" spans="1:37" x14ac:dyDescent="0.3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>
        <f t="shared" si="14"/>
        <v>0</v>
      </c>
    </row>
    <row r="908" spans="1:37" x14ac:dyDescent="0.3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>
        <f t="shared" si="14"/>
        <v>0</v>
      </c>
    </row>
    <row r="909" spans="1:37" x14ac:dyDescent="0.3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>
        <f t="shared" si="14"/>
        <v>0</v>
      </c>
    </row>
    <row r="910" spans="1:37" x14ac:dyDescent="0.3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>
        <f t="shared" si="14"/>
        <v>0</v>
      </c>
    </row>
    <row r="911" spans="1:37" x14ac:dyDescent="0.3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>
        <f t="shared" si="14"/>
        <v>0</v>
      </c>
    </row>
    <row r="912" spans="1:37" x14ac:dyDescent="0.3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>
        <f t="shared" si="14"/>
        <v>0</v>
      </c>
    </row>
    <row r="913" spans="1:37" x14ac:dyDescent="0.3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>
        <f t="shared" si="14"/>
        <v>1</v>
      </c>
    </row>
    <row r="914" spans="1:37" x14ac:dyDescent="0.3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>
        <f t="shared" si="14"/>
        <v>0</v>
      </c>
    </row>
    <row r="915" spans="1:37" x14ac:dyDescent="0.3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>
        <f t="shared" si="14"/>
        <v>1</v>
      </c>
    </row>
    <row r="916" spans="1:37" x14ac:dyDescent="0.3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>
        <f t="shared" si="14"/>
        <v>0</v>
      </c>
    </row>
    <row r="917" spans="1:37" x14ac:dyDescent="0.3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>
        <f t="shared" si="14"/>
        <v>1</v>
      </c>
    </row>
    <row r="918" spans="1:37" x14ac:dyDescent="0.3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>
        <f t="shared" si="14"/>
        <v>0</v>
      </c>
    </row>
    <row r="919" spans="1:37" x14ac:dyDescent="0.3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>
        <f t="shared" si="14"/>
        <v>0</v>
      </c>
    </row>
    <row r="920" spans="1:37" x14ac:dyDescent="0.3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>
        <f t="shared" si="14"/>
        <v>0</v>
      </c>
    </row>
    <row r="921" spans="1:37" x14ac:dyDescent="0.3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>
        <f t="shared" si="14"/>
        <v>0</v>
      </c>
    </row>
    <row r="922" spans="1:37" x14ac:dyDescent="0.3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>
        <f t="shared" si="14"/>
        <v>0</v>
      </c>
    </row>
    <row r="923" spans="1:37" x14ac:dyDescent="0.3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>
        <f t="shared" si="14"/>
        <v>0</v>
      </c>
    </row>
    <row r="924" spans="1:37" x14ac:dyDescent="0.3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>
        <f t="shared" si="14"/>
        <v>0</v>
      </c>
    </row>
    <row r="925" spans="1:37" x14ac:dyDescent="0.3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>
        <f t="shared" si="14"/>
        <v>0</v>
      </c>
    </row>
    <row r="926" spans="1:37" x14ac:dyDescent="0.3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>
        <f t="shared" si="14"/>
        <v>0</v>
      </c>
    </row>
    <row r="927" spans="1:37" x14ac:dyDescent="0.3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>
        <f t="shared" si="14"/>
        <v>0</v>
      </c>
    </row>
    <row r="928" spans="1:37" x14ac:dyDescent="0.3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>
        <f t="shared" si="14"/>
        <v>0</v>
      </c>
    </row>
    <row r="929" spans="1:37" x14ac:dyDescent="0.3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>
        <f t="shared" si="14"/>
        <v>0</v>
      </c>
    </row>
    <row r="930" spans="1:37" x14ac:dyDescent="0.3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>
        <f t="shared" si="14"/>
        <v>1</v>
      </c>
    </row>
    <row r="931" spans="1:37" x14ac:dyDescent="0.3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>
        <f t="shared" si="14"/>
        <v>0</v>
      </c>
    </row>
    <row r="932" spans="1:37" x14ac:dyDescent="0.3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>
        <f t="shared" si="14"/>
        <v>0</v>
      </c>
    </row>
    <row r="933" spans="1:37" x14ac:dyDescent="0.3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>
        <f t="shared" si="14"/>
        <v>0</v>
      </c>
    </row>
    <row r="934" spans="1:37" x14ac:dyDescent="0.3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>
        <f t="shared" si="14"/>
        <v>1</v>
      </c>
    </row>
    <row r="935" spans="1:37" x14ac:dyDescent="0.3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>
        <f t="shared" si="14"/>
        <v>0</v>
      </c>
    </row>
    <row r="936" spans="1:37" x14ac:dyDescent="0.3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>
        <f t="shared" si="14"/>
        <v>0</v>
      </c>
    </row>
    <row r="937" spans="1:37" x14ac:dyDescent="0.3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>
        <f t="shared" si="14"/>
        <v>0</v>
      </c>
    </row>
    <row r="938" spans="1:37" x14ac:dyDescent="0.3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>
        <f t="shared" si="14"/>
        <v>0</v>
      </c>
    </row>
    <row r="939" spans="1:37" x14ac:dyDescent="0.3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>
        <f t="shared" si="14"/>
        <v>0</v>
      </c>
    </row>
    <row r="940" spans="1:37" x14ac:dyDescent="0.3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>
        <f t="shared" si="14"/>
        <v>0</v>
      </c>
    </row>
    <row r="941" spans="1:37" x14ac:dyDescent="0.3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>
        <f t="shared" si="14"/>
        <v>1</v>
      </c>
    </row>
    <row r="942" spans="1:37" x14ac:dyDescent="0.3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>
        <f t="shared" si="14"/>
        <v>1</v>
      </c>
    </row>
    <row r="943" spans="1:37" x14ac:dyDescent="0.3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>
        <f t="shared" si="14"/>
        <v>0</v>
      </c>
    </row>
    <row r="944" spans="1:37" x14ac:dyDescent="0.3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>
        <f t="shared" si="14"/>
        <v>0</v>
      </c>
    </row>
    <row r="945" spans="1:37" x14ac:dyDescent="0.3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>
        <f t="shared" si="14"/>
        <v>0</v>
      </c>
    </row>
    <row r="946" spans="1:37" x14ac:dyDescent="0.3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>
        <f t="shared" si="14"/>
        <v>0</v>
      </c>
    </row>
    <row r="947" spans="1:37" x14ac:dyDescent="0.3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>
        <f t="shared" si="14"/>
        <v>0</v>
      </c>
    </row>
    <row r="948" spans="1:37" x14ac:dyDescent="0.3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>
        <f t="shared" si="14"/>
        <v>1</v>
      </c>
    </row>
    <row r="949" spans="1:37" x14ac:dyDescent="0.3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>
        <f t="shared" si="14"/>
        <v>1</v>
      </c>
    </row>
    <row r="950" spans="1:37" x14ac:dyDescent="0.3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>
        <f t="shared" si="14"/>
        <v>0</v>
      </c>
    </row>
    <row r="951" spans="1:37" x14ac:dyDescent="0.3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>
        <f t="shared" si="14"/>
        <v>0</v>
      </c>
    </row>
    <row r="952" spans="1:37" x14ac:dyDescent="0.3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>
        <f t="shared" si="14"/>
        <v>0</v>
      </c>
    </row>
    <row r="953" spans="1:37" x14ac:dyDescent="0.3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>
        <f t="shared" si="14"/>
        <v>0</v>
      </c>
    </row>
    <row r="954" spans="1:37" x14ac:dyDescent="0.3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>
        <f t="shared" si="14"/>
        <v>1</v>
      </c>
    </row>
    <row r="955" spans="1:37" x14ac:dyDescent="0.3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>
        <f t="shared" si="14"/>
        <v>1</v>
      </c>
    </row>
    <row r="956" spans="1:37" x14ac:dyDescent="0.3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>
        <f t="shared" si="14"/>
        <v>0</v>
      </c>
    </row>
    <row r="957" spans="1:37" x14ac:dyDescent="0.3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>
        <f t="shared" si="14"/>
        <v>0</v>
      </c>
    </row>
    <row r="958" spans="1:37" x14ac:dyDescent="0.3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>
        <f t="shared" si="14"/>
        <v>0</v>
      </c>
    </row>
    <row r="959" spans="1:37" x14ac:dyDescent="0.3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>
        <f t="shared" si="14"/>
        <v>0</v>
      </c>
    </row>
    <row r="960" spans="1:37" x14ac:dyDescent="0.3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>
        <f t="shared" si="14"/>
        <v>0</v>
      </c>
    </row>
    <row r="961" spans="1:37" x14ac:dyDescent="0.3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>
        <f t="shared" si="14"/>
        <v>0</v>
      </c>
    </row>
    <row r="962" spans="1:37" x14ac:dyDescent="0.3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>
        <f t="shared" si="14"/>
        <v>0</v>
      </c>
    </row>
    <row r="963" spans="1:37" x14ac:dyDescent="0.3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>
        <f t="shared" ref="AK963:AK1026" si="15">IF(B963="Yes",1,0)</f>
        <v>0</v>
      </c>
    </row>
    <row r="964" spans="1:37" x14ac:dyDescent="0.3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>
        <f t="shared" si="15"/>
        <v>0</v>
      </c>
    </row>
    <row r="965" spans="1:37" x14ac:dyDescent="0.3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>
        <f t="shared" si="15"/>
        <v>0</v>
      </c>
    </row>
    <row r="966" spans="1:37" x14ac:dyDescent="0.3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>
        <f t="shared" si="15"/>
        <v>0</v>
      </c>
    </row>
    <row r="967" spans="1:37" x14ac:dyDescent="0.3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>
        <f t="shared" si="15"/>
        <v>0</v>
      </c>
    </row>
    <row r="968" spans="1:37" x14ac:dyDescent="0.3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>
        <f t="shared" si="15"/>
        <v>1</v>
      </c>
    </row>
    <row r="969" spans="1:37" x14ac:dyDescent="0.3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>
        <f t="shared" si="15"/>
        <v>0</v>
      </c>
    </row>
    <row r="970" spans="1:37" x14ac:dyDescent="0.3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>
        <f t="shared" si="15"/>
        <v>0</v>
      </c>
    </row>
    <row r="971" spans="1:37" x14ac:dyDescent="0.3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>
        <f t="shared" si="15"/>
        <v>0</v>
      </c>
    </row>
    <row r="972" spans="1:37" x14ac:dyDescent="0.3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>
        <f t="shared" si="15"/>
        <v>0</v>
      </c>
    </row>
    <row r="973" spans="1:37" x14ac:dyDescent="0.3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>
        <f t="shared" si="15"/>
        <v>0</v>
      </c>
    </row>
    <row r="974" spans="1:37" x14ac:dyDescent="0.3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>
        <f t="shared" si="15"/>
        <v>0</v>
      </c>
    </row>
    <row r="975" spans="1:37" x14ac:dyDescent="0.3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>
        <f t="shared" si="15"/>
        <v>0</v>
      </c>
    </row>
    <row r="976" spans="1:37" x14ac:dyDescent="0.3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>
        <f t="shared" si="15"/>
        <v>0</v>
      </c>
    </row>
    <row r="977" spans="1:37" x14ac:dyDescent="0.3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>
        <f t="shared" si="15"/>
        <v>1</v>
      </c>
    </row>
    <row r="978" spans="1:37" x14ac:dyDescent="0.3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>
        <f t="shared" si="15"/>
        <v>0</v>
      </c>
    </row>
    <row r="979" spans="1:37" x14ac:dyDescent="0.3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>
        <f t="shared" si="15"/>
        <v>0</v>
      </c>
    </row>
    <row r="980" spans="1:37" x14ac:dyDescent="0.3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>
        <f t="shared" si="15"/>
        <v>0</v>
      </c>
    </row>
    <row r="981" spans="1:37" x14ac:dyDescent="0.3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>
        <f t="shared" si="15"/>
        <v>0</v>
      </c>
    </row>
    <row r="982" spans="1:37" x14ac:dyDescent="0.3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>
        <f t="shared" si="15"/>
        <v>1</v>
      </c>
    </row>
    <row r="983" spans="1:37" x14ac:dyDescent="0.3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>
        <f t="shared" si="15"/>
        <v>1</v>
      </c>
    </row>
    <row r="984" spans="1:37" x14ac:dyDescent="0.3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>
        <f t="shared" si="15"/>
        <v>0</v>
      </c>
    </row>
    <row r="985" spans="1:37" x14ac:dyDescent="0.3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>
        <f t="shared" si="15"/>
        <v>0</v>
      </c>
    </row>
    <row r="986" spans="1:37" x14ac:dyDescent="0.3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>
        <f t="shared" si="15"/>
        <v>0</v>
      </c>
    </row>
    <row r="987" spans="1:37" x14ac:dyDescent="0.3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>
        <f t="shared" si="15"/>
        <v>1</v>
      </c>
    </row>
    <row r="988" spans="1:37" x14ac:dyDescent="0.3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>
        <f t="shared" si="15"/>
        <v>0</v>
      </c>
    </row>
    <row r="989" spans="1:37" x14ac:dyDescent="0.3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>
        <f t="shared" si="15"/>
        <v>0</v>
      </c>
    </row>
    <row r="990" spans="1:37" x14ac:dyDescent="0.3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>
        <f t="shared" si="15"/>
        <v>0</v>
      </c>
    </row>
    <row r="991" spans="1:37" x14ac:dyDescent="0.3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>
        <f t="shared" si="15"/>
        <v>0</v>
      </c>
    </row>
    <row r="992" spans="1:37" x14ac:dyDescent="0.3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>
        <f t="shared" si="15"/>
        <v>0</v>
      </c>
    </row>
    <row r="993" spans="1:37" x14ac:dyDescent="0.3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>
        <f t="shared" si="15"/>
        <v>0</v>
      </c>
    </row>
    <row r="994" spans="1:37" x14ac:dyDescent="0.3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>
        <f t="shared" si="15"/>
        <v>0</v>
      </c>
    </row>
    <row r="995" spans="1:37" x14ac:dyDescent="0.3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>
        <f t="shared" si="15"/>
        <v>0</v>
      </c>
    </row>
    <row r="996" spans="1:37" x14ac:dyDescent="0.3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>
        <f t="shared" si="15"/>
        <v>0</v>
      </c>
    </row>
    <row r="997" spans="1:37" x14ac:dyDescent="0.3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>
        <f t="shared" si="15"/>
        <v>0</v>
      </c>
    </row>
    <row r="998" spans="1:37" x14ac:dyDescent="0.3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>
        <f t="shared" si="15"/>
        <v>0</v>
      </c>
    </row>
    <row r="999" spans="1:37" x14ac:dyDescent="0.3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>
        <f t="shared" si="15"/>
        <v>1</v>
      </c>
    </row>
    <row r="1000" spans="1:37" x14ac:dyDescent="0.3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>
        <f t="shared" si="15"/>
        <v>0</v>
      </c>
    </row>
    <row r="1001" spans="1:37" x14ac:dyDescent="0.3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>
        <f t="shared" si="15"/>
        <v>0</v>
      </c>
    </row>
    <row r="1002" spans="1:37" x14ac:dyDescent="0.3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>
        <f t="shared" si="15"/>
        <v>0</v>
      </c>
    </row>
    <row r="1003" spans="1:37" x14ac:dyDescent="0.3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>
        <f t="shared" si="15"/>
        <v>0</v>
      </c>
    </row>
    <row r="1004" spans="1:37" x14ac:dyDescent="0.3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>
        <f t="shared" si="15"/>
        <v>0</v>
      </c>
    </row>
    <row r="1005" spans="1:37" x14ac:dyDescent="0.3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>
        <f t="shared" si="15"/>
        <v>0</v>
      </c>
    </row>
    <row r="1006" spans="1:37" x14ac:dyDescent="0.3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>
        <f t="shared" si="15"/>
        <v>0</v>
      </c>
    </row>
    <row r="1007" spans="1:37" x14ac:dyDescent="0.3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>
        <f t="shared" si="15"/>
        <v>0</v>
      </c>
    </row>
    <row r="1008" spans="1:37" x14ac:dyDescent="0.3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>
        <f t="shared" si="15"/>
        <v>1</v>
      </c>
    </row>
    <row r="1009" spans="1:37" x14ac:dyDescent="0.3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>
        <f t="shared" si="15"/>
        <v>1</v>
      </c>
    </row>
    <row r="1010" spans="1:37" x14ac:dyDescent="0.3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>
        <f t="shared" si="15"/>
        <v>0</v>
      </c>
    </row>
    <row r="1011" spans="1:37" x14ac:dyDescent="0.3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>
        <f t="shared" si="15"/>
        <v>0</v>
      </c>
    </row>
    <row r="1012" spans="1:37" x14ac:dyDescent="0.3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>
        <f t="shared" si="15"/>
        <v>0</v>
      </c>
    </row>
    <row r="1013" spans="1:37" x14ac:dyDescent="0.3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>
        <f t="shared" si="15"/>
        <v>0</v>
      </c>
    </row>
    <row r="1014" spans="1:37" x14ac:dyDescent="0.3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>
        <f t="shared" si="15"/>
        <v>1</v>
      </c>
    </row>
    <row r="1015" spans="1:37" x14ac:dyDescent="0.3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>
        <f t="shared" si="15"/>
        <v>0</v>
      </c>
    </row>
    <row r="1016" spans="1:37" x14ac:dyDescent="0.3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>
        <f t="shared" si="15"/>
        <v>0</v>
      </c>
    </row>
    <row r="1017" spans="1:37" x14ac:dyDescent="0.3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>
        <f t="shared" si="15"/>
        <v>0</v>
      </c>
    </row>
    <row r="1018" spans="1:37" x14ac:dyDescent="0.3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>
        <f t="shared" si="15"/>
        <v>1</v>
      </c>
    </row>
    <row r="1019" spans="1:37" x14ac:dyDescent="0.3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>
        <f t="shared" si="15"/>
        <v>0</v>
      </c>
    </row>
    <row r="1020" spans="1:37" x14ac:dyDescent="0.3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>
        <f t="shared" si="15"/>
        <v>0</v>
      </c>
    </row>
    <row r="1021" spans="1:37" x14ac:dyDescent="0.3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>
        <f t="shared" si="15"/>
        <v>0</v>
      </c>
    </row>
    <row r="1022" spans="1:37" x14ac:dyDescent="0.3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>
        <f t="shared" si="15"/>
        <v>0</v>
      </c>
    </row>
    <row r="1023" spans="1:37" x14ac:dyDescent="0.3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>
        <f t="shared" si="15"/>
        <v>1</v>
      </c>
    </row>
    <row r="1024" spans="1:37" x14ac:dyDescent="0.3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>
        <f t="shared" si="15"/>
        <v>0</v>
      </c>
    </row>
    <row r="1025" spans="1:37" x14ac:dyDescent="0.3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>
        <f t="shared" si="15"/>
        <v>0</v>
      </c>
    </row>
    <row r="1026" spans="1:37" x14ac:dyDescent="0.3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>
        <f t="shared" si="15"/>
        <v>0</v>
      </c>
    </row>
    <row r="1027" spans="1:37" x14ac:dyDescent="0.3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>
        <f t="shared" ref="AK1027:AK1090" si="16">IF(B1027="Yes",1,0)</f>
        <v>0</v>
      </c>
    </row>
    <row r="1028" spans="1:37" x14ac:dyDescent="0.3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>
        <f t="shared" si="16"/>
        <v>0</v>
      </c>
    </row>
    <row r="1029" spans="1:37" x14ac:dyDescent="0.3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>
        <f t="shared" si="16"/>
        <v>0</v>
      </c>
    </row>
    <row r="1030" spans="1:37" x14ac:dyDescent="0.3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>
        <f t="shared" si="16"/>
        <v>0</v>
      </c>
    </row>
    <row r="1031" spans="1:37" x14ac:dyDescent="0.3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>
        <f t="shared" si="16"/>
        <v>0</v>
      </c>
    </row>
    <row r="1032" spans="1:37" x14ac:dyDescent="0.3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>
        <f t="shared" si="16"/>
        <v>0</v>
      </c>
    </row>
    <row r="1033" spans="1:37" x14ac:dyDescent="0.3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>
        <f t="shared" si="16"/>
        <v>1</v>
      </c>
    </row>
    <row r="1034" spans="1:37" x14ac:dyDescent="0.3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>
        <f t="shared" si="16"/>
        <v>1</v>
      </c>
    </row>
    <row r="1035" spans="1:37" x14ac:dyDescent="0.3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>
        <f t="shared" si="16"/>
        <v>1</v>
      </c>
    </row>
    <row r="1036" spans="1:37" x14ac:dyDescent="0.3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>
        <f t="shared" si="16"/>
        <v>0</v>
      </c>
    </row>
    <row r="1037" spans="1:37" x14ac:dyDescent="0.3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>
        <f t="shared" si="16"/>
        <v>0</v>
      </c>
    </row>
    <row r="1038" spans="1:37" x14ac:dyDescent="0.3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>
        <f t="shared" si="16"/>
        <v>1</v>
      </c>
    </row>
    <row r="1039" spans="1:37" x14ac:dyDescent="0.3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>
        <f t="shared" si="16"/>
        <v>0</v>
      </c>
    </row>
    <row r="1040" spans="1:37" x14ac:dyDescent="0.3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>
        <f t="shared" si="16"/>
        <v>0</v>
      </c>
    </row>
    <row r="1041" spans="1:37" x14ac:dyDescent="0.3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>
        <f t="shared" si="16"/>
        <v>1</v>
      </c>
    </row>
    <row r="1042" spans="1:37" x14ac:dyDescent="0.3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>
        <f t="shared" si="16"/>
        <v>0</v>
      </c>
    </row>
    <row r="1043" spans="1:37" x14ac:dyDescent="0.3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>
        <f t="shared" si="16"/>
        <v>0</v>
      </c>
    </row>
    <row r="1044" spans="1:37" x14ac:dyDescent="0.3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>
        <f t="shared" si="16"/>
        <v>0</v>
      </c>
    </row>
    <row r="1045" spans="1:37" x14ac:dyDescent="0.3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>
        <f t="shared" si="16"/>
        <v>0</v>
      </c>
    </row>
    <row r="1046" spans="1:37" x14ac:dyDescent="0.3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>
        <f t="shared" si="16"/>
        <v>0</v>
      </c>
    </row>
    <row r="1047" spans="1:37" x14ac:dyDescent="0.3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>
        <f t="shared" si="16"/>
        <v>0</v>
      </c>
    </row>
    <row r="1048" spans="1:37" x14ac:dyDescent="0.3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>
        <f t="shared" si="16"/>
        <v>0</v>
      </c>
    </row>
    <row r="1049" spans="1:37" x14ac:dyDescent="0.3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>
        <f t="shared" si="16"/>
        <v>0</v>
      </c>
    </row>
    <row r="1050" spans="1:37" x14ac:dyDescent="0.3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>
        <f t="shared" si="16"/>
        <v>0</v>
      </c>
    </row>
    <row r="1051" spans="1:37" x14ac:dyDescent="0.3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>
        <f t="shared" si="16"/>
        <v>0</v>
      </c>
    </row>
    <row r="1052" spans="1:37" x14ac:dyDescent="0.3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>
        <f t="shared" si="16"/>
        <v>0</v>
      </c>
    </row>
    <row r="1053" spans="1:37" x14ac:dyDescent="0.3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>
        <f t="shared" si="16"/>
        <v>0</v>
      </c>
    </row>
    <row r="1054" spans="1:37" x14ac:dyDescent="0.3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>
        <f t="shared" si="16"/>
        <v>0</v>
      </c>
    </row>
    <row r="1055" spans="1:37" x14ac:dyDescent="0.3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>
        <f t="shared" si="16"/>
        <v>0</v>
      </c>
    </row>
    <row r="1056" spans="1:37" x14ac:dyDescent="0.3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>
        <f t="shared" si="16"/>
        <v>0</v>
      </c>
    </row>
    <row r="1057" spans="1:37" x14ac:dyDescent="0.3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>
        <f t="shared" si="16"/>
        <v>0</v>
      </c>
    </row>
    <row r="1058" spans="1:37" x14ac:dyDescent="0.3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>
        <f t="shared" si="16"/>
        <v>1</v>
      </c>
    </row>
    <row r="1059" spans="1:37" x14ac:dyDescent="0.3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>
        <f t="shared" si="16"/>
        <v>1</v>
      </c>
    </row>
    <row r="1060" spans="1:37" x14ac:dyDescent="0.3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>
        <f t="shared" si="16"/>
        <v>1</v>
      </c>
    </row>
    <row r="1061" spans="1:37" x14ac:dyDescent="0.3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>
        <f t="shared" si="16"/>
        <v>0</v>
      </c>
    </row>
    <row r="1062" spans="1:37" x14ac:dyDescent="0.3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>
        <f t="shared" si="16"/>
        <v>1</v>
      </c>
    </row>
    <row r="1063" spans="1:37" x14ac:dyDescent="0.3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>
        <f t="shared" si="16"/>
        <v>0</v>
      </c>
    </row>
    <row r="1064" spans="1:37" x14ac:dyDescent="0.3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>
        <f t="shared" si="16"/>
        <v>0</v>
      </c>
    </row>
    <row r="1065" spans="1:37" x14ac:dyDescent="0.3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>
        <f t="shared" si="16"/>
        <v>0</v>
      </c>
    </row>
    <row r="1066" spans="1:37" x14ac:dyDescent="0.3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>
        <f t="shared" si="16"/>
        <v>0</v>
      </c>
    </row>
    <row r="1067" spans="1:37" x14ac:dyDescent="0.3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>
        <f t="shared" si="16"/>
        <v>0</v>
      </c>
    </row>
    <row r="1068" spans="1:37" x14ac:dyDescent="0.3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>
        <f t="shared" si="16"/>
        <v>0</v>
      </c>
    </row>
    <row r="1069" spans="1:37" x14ac:dyDescent="0.3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>
        <f t="shared" si="16"/>
        <v>0</v>
      </c>
    </row>
    <row r="1070" spans="1:37" x14ac:dyDescent="0.3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>
        <f t="shared" si="16"/>
        <v>1</v>
      </c>
    </row>
    <row r="1071" spans="1:37" x14ac:dyDescent="0.3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>
        <f t="shared" si="16"/>
        <v>0</v>
      </c>
    </row>
    <row r="1072" spans="1:37" x14ac:dyDescent="0.3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>
        <f t="shared" si="16"/>
        <v>0</v>
      </c>
    </row>
    <row r="1073" spans="1:37" x14ac:dyDescent="0.3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>
        <f t="shared" si="16"/>
        <v>0</v>
      </c>
    </row>
    <row r="1074" spans="1:37" x14ac:dyDescent="0.3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>
        <f t="shared" si="16"/>
        <v>0</v>
      </c>
    </row>
    <row r="1075" spans="1:37" x14ac:dyDescent="0.3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>
        <f t="shared" si="16"/>
        <v>0</v>
      </c>
    </row>
    <row r="1076" spans="1:37" x14ac:dyDescent="0.3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>
        <f t="shared" si="16"/>
        <v>0</v>
      </c>
    </row>
    <row r="1077" spans="1:37" x14ac:dyDescent="0.3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>
        <f t="shared" si="16"/>
        <v>0</v>
      </c>
    </row>
    <row r="1078" spans="1:37" x14ac:dyDescent="0.3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>
        <f t="shared" si="16"/>
        <v>0</v>
      </c>
    </row>
    <row r="1079" spans="1:37" x14ac:dyDescent="0.3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>
        <f t="shared" si="16"/>
        <v>1</v>
      </c>
    </row>
    <row r="1080" spans="1:37" x14ac:dyDescent="0.3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>
        <f t="shared" si="16"/>
        <v>0</v>
      </c>
    </row>
    <row r="1081" spans="1:37" x14ac:dyDescent="0.3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>
        <f t="shared" si="16"/>
        <v>0</v>
      </c>
    </row>
    <row r="1082" spans="1:37" x14ac:dyDescent="0.3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>
        <f t="shared" si="16"/>
        <v>0</v>
      </c>
    </row>
    <row r="1083" spans="1:37" x14ac:dyDescent="0.3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>
        <f t="shared" si="16"/>
        <v>0</v>
      </c>
    </row>
    <row r="1084" spans="1:37" x14ac:dyDescent="0.3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>
        <f t="shared" si="16"/>
        <v>0</v>
      </c>
    </row>
    <row r="1085" spans="1:37" x14ac:dyDescent="0.3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>
        <f t="shared" si="16"/>
        <v>1</v>
      </c>
    </row>
    <row r="1086" spans="1:37" x14ac:dyDescent="0.3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>
        <f t="shared" si="16"/>
        <v>0</v>
      </c>
    </row>
    <row r="1087" spans="1:37" x14ac:dyDescent="0.3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>
        <f t="shared" si="16"/>
        <v>1</v>
      </c>
    </row>
    <row r="1088" spans="1:37" x14ac:dyDescent="0.3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>
        <f t="shared" si="16"/>
        <v>0</v>
      </c>
    </row>
    <row r="1089" spans="1:37" x14ac:dyDescent="0.3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>
        <f t="shared" si="16"/>
        <v>0</v>
      </c>
    </row>
    <row r="1090" spans="1:37" x14ac:dyDescent="0.3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>
        <f t="shared" si="16"/>
        <v>0</v>
      </c>
    </row>
    <row r="1091" spans="1:37" x14ac:dyDescent="0.3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>
        <f t="shared" ref="AK1091:AK1154" si="17">IF(B1091="Yes",1,0)</f>
        <v>0</v>
      </c>
    </row>
    <row r="1092" spans="1:37" x14ac:dyDescent="0.3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>
        <f t="shared" si="17"/>
        <v>0</v>
      </c>
    </row>
    <row r="1093" spans="1:37" x14ac:dyDescent="0.3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>
        <f t="shared" si="17"/>
        <v>0</v>
      </c>
    </row>
    <row r="1094" spans="1:37" x14ac:dyDescent="0.3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>
        <f t="shared" si="17"/>
        <v>0</v>
      </c>
    </row>
    <row r="1095" spans="1:37" x14ac:dyDescent="0.3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>
        <f t="shared" si="17"/>
        <v>0</v>
      </c>
    </row>
    <row r="1096" spans="1:37" x14ac:dyDescent="0.3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>
        <f t="shared" si="17"/>
        <v>0</v>
      </c>
    </row>
    <row r="1097" spans="1:37" x14ac:dyDescent="0.3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>
        <f t="shared" si="17"/>
        <v>0</v>
      </c>
    </row>
    <row r="1098" spans="1:37" x14ac:dyDescent="0.3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>
        <f t="shared" si="17"/>
        <v>0</v>
      </c>
    </row>
    <row r="1099" spans="1:37" x14ac:dyDescent="0.3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>
        <f t="shared" si="17"/>
        <v>0</v>
      </c>
    </row>
    <row r="1100" spans="1:37" x14ac:dyDescent="0.3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>
        <f t="shared" si="17"/>
        <v>0</v>
      </c>
    </row>
    <row r="1101" spans="1:37" x14ac:dyDescent="0.3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>
        <f t="shared" si="17"/>
        <v>0</v>
      </c>
    </row>
    <row r="1102" spans="1:37" x14ac:dyDescent="0.3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>
        <f t="shared" si="17"/>
        <v>0</v>
      </c>
    </row>
    <row r="1103" spans="1:37" x14ac:dyDescent="0.3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>
        <f t="shared" si="17"/>
        <v>0</v>
      </c>
    </row>
    <row r="1104" spans="1:37" x14ac:dyDescent="0.3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>
        <f t="shared" si="17"/>
        <v>0</v>
      </c>
    </row>
    <row r="1105" spans="1:37" x14ac:dyDescent="0.3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>
        <f t="shared" si="17"/>
        <v>0</v>
      </c>
    </row>
    <row r="1106" spans="1:37" x14ac:dyDescent="0.3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>
        <f t="shared" si="17"/>
        <v>0</v>
      </c>
    </row>
    <row r="1107" spans="1:37" x14ac:dyDescent="0.3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>
        <f t="shared" si="17"/>
        <v>0</v>
      </c>
    </row>
    <row r="1108" spans="1:37" x14ac:dyDescent="0.3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>
        <f t="shared" si="17"/>
        <v>1</v>
      </c>
    </row>
    <row r="1109" spans="1:37" x14ac:dyDescent="0.3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>
        <f t="shared" si="17"/>
        <v>0</v>
      </c>
    </row>
    <row r="1110" spans="1:37" x14ac:dyDescent="0.3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>
        <f t="shared" si="17"/>
        <v>0</v>
      </c>
    </row>
    <row r="1111" spans="1:37" x14ac:dyDescent="0.3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>
        <f t="shared" si="17"/>
        <v>0</v>
      </c>
    </row>
    <row r="1112" spans="1:37" x14ac:dyDescent="0.3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>
        <f t="shared" si="17"/>
        <v>1</v>
      </c>
    </row>
    <row r="1113" spans="1:37" x14ac:dyDescent="0.3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>
        <f t="shared" si="17"/>
        <v>1</v>
      </c>
    </row>
    <row r="1114" spans="1:37" x14ac:dyDescent="0.3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>
        <f t="shared" si="17"/>
        <v>1</v>
      </c>
    </row>
    <row r="1115" spans="1:37" x14ac:dyDescent="0.3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>
        <f t="shared" si="17"/>
        <v>0</v>
      </c>
    </row>
    <row r="1116" spans="1:37" x14ac:dyDescent="0.3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>
        <f t="shared" si="17"/>
        <v>0</v>
      </c>
    </row>
    <row r="1117" spans="1:37" x14ac:dyDescent="0.3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>
        <f t="shared" si="17"/>
        <v>0</v>
      </c>
    </row>
    <row r="1118" spans="1:37" x14ac:dyDescent="0.3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>
        <f t="shared" si="17"/>
        <v>0</v>
      </c>
    </row>
    <row r="1119" spans="1:37" x14ac:dyDescent="0.3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>
        <f t="shared" si="17"/>
        <v>0</v>
      </c>
    </row>
    <row r="1120" spans="1:37" x14ac:dyDescent="0.3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>
        <f t="shared" si="17"/>
        <v>0</v>
      </c>
    </row>
    <row r="1121" spans="1:37" x14ac:dyDescent="0.3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>
        <f t="shared" si="17"/>
        <v>0</v>
      </c>
    </row>
    <row r="1122" spans="1:37" x14ac:dyDescent="0.3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>
        <f t="shared" si="17"/>
        <v>0</v>
      </c>
    </row>
    <row r="1123" spans="1:37" x14ac:dyDescent="0.3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>
        <f t="shared" si="17"/>
        <v>0</v>
      </c>
    </row>
    <row r="1124" spans="1:37" x14ac:dyDescent="0.3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>
        <f t="shared" si="17"/>
        <v>0</v>
      </c>
    </row>
    <row r="1125" spans="1:37" x14ac:dyDescent="0.3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>
        <f t="shared" si="17"/>
        <v>0</v>
      </c>
    </row>
    <row r="1126" spans="1:37" x14ac:dyDescent="0.3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>
        <f t="shared" si="17"/>
        <v>0</v>
      </c>
    </row>
    <row r="1127" spans="1:37" x14ac:dyDescent="0.3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>
        <f t="shared" si="17"/>
        <v>0</v>
      </c>
    </row>
    <row r="1128" spans="1:37" x14ac:dyDescent="0.3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>
        <f t="shared" si="17"/>
        <v>0</v>
      </c>
    </row>
    <row r="1129" spans="1:37" x14ac:dyDescent="0.3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>
        <f t="shared" si="17"/>
        <v>0</v>
      </c>
    </row>
    <row r="1130" spans="1:37" x14ac:dyDescent="0.3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>
        <f t="shared" si="17"/>
        <v>0</v>
      </c>
    </row>
    <row r="1131" spans="1:37" x14ac:dyDescent="0.3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>
        <f t="shared" si="17"/>
        <v>0</v>
      </c>
    </row>
    <row r="1132" spans="1:37" x14ac:dyDescent="0.3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>
        <f t="shared" si="17"/>
        <v>0</v>
      </c>
    </row>
    <row r="1133" spans="1:37" x14ac:dyDescent="0.3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>
        <f t="shared" si="17"/>
        <v>0</v>
      </c>
    </row>
    <row r="1134" spans="1:37" x14ac:dyDescent="0.3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>
        <f t="shared" si="17"/>
        <v>0</v>
      </c>
    </row>
    <row r="1135" spans="1:37" x14ac:dyDescent="0.3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>
        <f t="shared" si="17"/>
        <v>0</v>
      </c>
    </row>
    <row r="1136" spans="1:37" x14ac:dyDescent="0.3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>
        <f t="shared" si="17"/>
        <v>0</v>
      </c>
    </row>
    <row r="1137" spans="1:37" x14ac:dyDescent="0.3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>
        <f t="shared" si="17"/>
        <v>0</v>
      </c>
    </row>
    <row r="1138" spans="1:37" x14ac:dyDescent="0.3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>
        <f t="shared" si="17"/>
        <v>1</v>
      </c>
    </row>
    <row r="1139" spans="1:37" x14ac:dyDescent="0.3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>
        <f t="shared" si="17"/>
        <v>0</v>
      </c>
    </row>
    <row r="1140" spans="1:37" x14ac:dyDescent="0.3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>
        <f t="shared" si="17"/>
        <v>0</v>
      </c>
    </row>
    <row r="1141" spans="1:37" x14ac:dyDescent="0.3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>
        <f t="shared" si="17"/>
        <v>0</v>
      </c>
    </row>
    <row r="1142" spans="1:37" x14ac:dyDescent="0.3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>
        <f t="shared" si="17"/>
        <v>0</v>
      </c>
    </row>
    <row r="1143" spans="1:37" x14ac:dyDescent="0.3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>
        <f t="shared" si="17"/>
        <v>0</v>
      </c>
    </row>
    <row r="1144" spans="1:37" x14ac:dyDescent="0.3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>
        <f t="shared" si="17"/>
        <v>0</v>
      </c>
    </row>
    <row r="1145" spans="1:37" x14ac:dyDescent="0.3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>
        <f t="shared" si="17"/>
        <v>0</v>
      </c>
    </row>
    <row r="1146" spans="1:37" x14ac:dyDescent="0.3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>
        <f t="shared" si="17"/>
        <v>0</v>
      </c>
    </row>
    <row r="1147" spans="1:37" x14ac:dyDescent="0.3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>
        <f t="shared" si="17"/>
        <v>0</v>
      </c>
    </row>
    <row r="1148" spans="1:37" x14ac:dyDescent="0.3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>
        <f t="shared" si="17"/>
        <v>0</v>
      </c>
    </row>
    <row r="1149" spans="1:37" x14ac:dyDescent="0.3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>
        <f t="shared" si="17"/>
        <v>0</v>
      </c>
    </row>
    <row r="1150" spans="1:37" x14ac:dyDescent="0.3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>
        <f t="shared" si="17"/>
        <v>0</v>
      </c>
    </row>
    <row r="1151" spans="1:37" x14ac:dyDescent="0.3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>
        <f t="shared" si="17"/>
        <v>0</v>
      </c>
    </row>
    <row r="1152" spans="1:37" x14ac:dyDescent="0.3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>
        <f t="shared" si="17"/>
        <v>0</v>
      </c>
    </row>
    <row r="1153" spans="1:37" x14ac:dyDescent="0.3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>
        <f t="shared" si="17"/>
        <v>0</v>
      </c>
    </row>
    <row r="1154" spans="1:37" x14ac:dyDescent="0.3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>
        <f t="shared" si="17"/>
        <v>0</v>
      </c>
    </row>
    <row r="1155" spans="1:37" x14ac:dyDescent="0.3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>
        <f t="shared" ref="AK1155:AK1218" si="18">IF(B1155="Yes",1,0)</f>
        <v>1</v>
      </c>
    </row>
    <row r="1156" spans="1:37" x14ac:dyDescent="0.3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>
        <f t="shared" si="18"/>
        <v>0</v>
      </c>
    </row>
    <row r="1157" spans="1:37" x14ac:dyDescent="0.3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>
        <f t="shared" si="18"/>
        <v>0</v>
      </c>
    </row>
    <row r="1158" spans="1:37" x14ac:dyDescent="0.3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>
        <f t="shared" si="18"/>
        <v>0</v>
      </c>
    </row>
    <row r="1159" spans="1:37" x14ac:dyDescent="0.3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>
        <f t="shared" si="18"/>
        <v>0</v>
      </c>
    </row>
    <row r="1160" spans="1:37" x14ac:dyDescent="0.3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>
        <f t="shared" si="18"/>
        <v>0</v>
      </c>
    </row>
    <row r="1161" spans="1:37" x14ac:dyDescent="0.3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>
        <f t="shared" si="18"/>
        <v>0</v>
      </c>
    </row>
    <row r="1162" spans="1:37" x14ac:dyDescent="0.3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>
        <f t="shared" si="18"/>
        <v>0</v>
      </c>
    </row>
    <row r="1163" spans="1:37" x14ac:dyDescent="0.3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>
        <f t="shared" si="18"/>
        <v>0</v>
      </c>
    </row>
    <row r="1164" spans="1:37" x14ac:dyDescent="0.3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>
        <f t="shared" si="18"/>
        <v>1</v>
      </c>
    </row>
    <row r="1165" spans="1:37" x14ac:dyDescent="0.3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>
        <f t="shared" si="18"/>
        <v>0</v>
      </c>
    </row>
    <row r="1166" spans="1:37" x14ac:dyDescent="0.3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>
        <f t="shared" si="18"/>
        <v>0</v>
      </c>
    </row>
    <row r="1167" spans="1:37" x14ac:dyDescent="0.3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>
        <f t="shared" si="18"/>
        <v>0</v>
      </c>
    </row>
    <row r="1168" spans="1:37" x14ac:dyDescent="0.3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>
        <f t="shared" si="18"/>
        <v>0</v>
      </c>
    </row>
    <row r="1169" spans="1:37" x14ac:dyDescent="0.3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>
        <f t="shared" si="18"/>
        <v>1</v>
      </c>
    </row>
    <row r="1170" spans="1:37" x14ac:dyDescent="0.3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>
        <f t="shared" si="18"/>
        <v>0</v>
      </c>
    </row>
    <row r="1171" spans="1:37" x14ac:dyDescent="0.3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>
        <f t="shared" si="18"/>
        <v>0</v>
      </c>
    </row>
    <row r="1172" spans="1:37" x14ac:dyDescent="0.3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>
        <f t="shared" si="18"/>
        <v>0</v>
      </c>
    </row>
    <row r="1173" spans="1:37" x14ac:dyDescent="0.3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>
        <f t="shared" si="18"/>
        <v>1</v>
      </c>
    </row>
    <row r="1174" spans="1:37" x14ac:dyDescent="0.3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>
        <f t="shared" si="18"/>
        <v>0</v>
      </c>
    </row>
    <row r="1175" spans="1:37" x14ac:dyDescent="0.3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>
        <f t="shared" si="18"/>
        <v>0</v>
      </c>
    </row>
    <row r="1176" spans="1:37" x14ac:dyDescent="0.3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>
        <f t="shared" si="18"/>
        <v>0</v>
      </c>
    </row>
    <row r="1177" spans="1:37" x14ac:dyDescent="0.3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>
        <f t="shared" si="18"/>
        <v>0</v>
      </c>
    </row>
    <row r="1178" spans="1:37" x14ac:dyDescent="0.3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>
        <f t="shared" si="18"/>
        <v>0</v>
      </c>
    </row>
    <row r="1179" spans="1:37" x14ac:dyDescent="0.3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>
        <f t="shared" si="18"/>
        <v>0</v>
      </c>
    </row>
    <row r="1180" spans="1:37" x14ac:dyDescent="0.3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>
        <f t="shared" si="18"/>
        <v>0</v>
      </c>
    </row>
    <row r="1181" spans="1:37" x14ac:dyDescent="0.3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>
        <f t="shared" si="18"/>
        <v>0</v>
      </c>
    </row>
    <row r="1182" spans="1:37" x14ac:dyDescent="0.3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>
        <f t="shared" si="18"/>
        <v>0</v>
      </c>
    </row>
    <row r="1183" spans="1:37" x14ac:dyDescent="0.3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>
        <f t="shared" si="18"/>
        <v>0</v>
      </c>
    </row>
    <row r="1184" spans="1:37" x14ac:dyDescent="0.3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>
        <f t="shared" si="18"/>
        <v>0</v>
      </c>
    </row>
    <row r="1185" spans="1:37" x14ac:dyDescent="0.3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>
        <f t="shared" si="18"/>
        <v>0</v>
      </c>
    </row>
    <row r="1186" spans="1:37" x14ac:dyDescent="0.3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>
        <f t="shared" si="18"/>
        <v>0</v>
      </c>
    </row>
    <row r="1187" spans="1:37" x14ac:dyDescent="0.3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>
        <f t="shared" si="18"/>
        <v>0</v>
      </c>
    </row>
    <row r="1188" spans="1:37" x14ac:dyDescent="0.3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>
        <f t="shared" si="18"/>
        <v>1</v>
      </c>
    </row>
    <row r="1189" spans="1:37" x14ac:dyDescent="0.3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>
        <f t="shared" si="18"/>
        <v>0</v>
      </c>
    </row>
    <row r="1190" spans="1:37" x14ac:dyDescent="0.3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>
        <f t="shared" si="18"/>
        <v>0</v>
      </c>
    </row>
    <row r="1191" spans="1:37" x14ac:dyDescent="0.3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>
        <f t="shared" si="18"/>
        <v>0</v>
      </c>
    </row>
    <row r="1192" spans="1:37" x14ac:dyDescent="0.3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>
        <f t="shared" si="18"/>
        <v>0</v>
      </c>
    </row>
    <row r="1193" spans="1:37" x14ac:dyDescent="0.3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>
        <f t="shared" si="18"/>
        <v>0</v>
      </c>
    </row>
    <row r="1194" spans="1:37" x14ac:dyDescent="0.3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>
        <f t="shared" si="18"/>
        <v>0</v>
      </c>
    </row>
    <row r="1195" spans="1:37" x14ac:dyDescent="0.3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>
        <f t="shared" si="18"/>
        <v>0</v>
      </c>
    </row>
    <row r="1196" spans="1:37" x14ac:dyDescent="0.3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>
        <f t="shared" si="18"/>
        <v>0</v>
      </c>
    </row>
    <row r="1197" spans="1:37" x14ac:dyDescent="0.3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>
        <f t="shared" si="18"/>
        <v>0</v>
      </c>
    </row>
    <row r="1198" spans="1:37" x14ac:dyDescent="0.3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>
        <f t="shared" si="18"/>
        <v>0</v>
      </c>
    </row>
    <row r="1199" spans="1:37" x14ac:dyDescent="0.3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>
        <f t="shared" si="18"/>
        <v>0</v>
      </c>
    </row>
    <row r="1200" spans="1:37" x14ac:dyDescent="0.3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>
        <f t="shared" si="18"/>
        <v>0</v>
      </c>
    </row>
    <row r="1201" spans="1:37" x14ac:dyDescent="0.3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>
        <f t="shared" si="18"/>
        <v>0</v>
      </c>
    </row>
    <row r="1202" spans="1:37" x14ac:dyDescent="0.3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>
        <f t="shared" si="18"/>
        <v>0</v>
      </c>
    </row>
    <row r="1203" spans="1:37" x14ac:dyDescent="0.3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>
        <f t="shared" si="18"/>
        <v>1</v>
      </c>
    </row>
    <row r="1204" spans="1:37" x14ac:dyDescent="0.3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>
        <f t="shared" si="18"/>
        <v>0</v>
      </c>
    </row>
    <row r="1205" spans="1:37" x14ac:dyDescent="0.3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>
        <f t="shared" si="18"/>
        <v>0</v>
      </c>
    </row>
    <row r="1206" spans="1:37" x14ac:dyDescent="0.3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>
        <f t="shared" si="18"/>
        <v>1</v>
      </c>
    </row>
    <row r="1207" spans="1:37" x14ac:dyDescent="0.3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>
        <f t="shared" si="18"/>
        <v>1</v>
      </c>
    </row>
    <row r="1208" spans="1:37" x14ac:dyDescent="0.3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>
        <f t="shared" si="18"/>
        <v>0</v>
      </c>
    </row>
    <row r="1209" spans="1:37" x14ac:dyDescent="0.3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>
        <f t="shared" si="18"/>
        <v>0</v>
      </c>
    </row>
    <row r="1210" spans="1:37" x14ac:dyDescent="0.3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>
        <f t="shared" si="18"/>
        <v>0</v>
      </c>
    </row>
    <row r="1211" spans="1:37" x14ac:dyDescent="0.3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>
        <f t="shared" si="18"/>
        <v>0</v>
      </c>
    </row>
    <row r="1212" spans="1:37" x14ac:dyDescent="0.3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>
        <f t="shared" si="18"/>
        <v>0</v>
      </c>
    </row>
    <row r="1213" spans="1:37" x14ac:dyDescent="0.3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>
        <f t="shared" si="18"/>
        <v>0</v>
      </c>
    </row>
    <row r="1214" spans="1:37" x14ac:dyDescent="0.3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>
        <f t="shared" si="18"/>
        <v>0</v>
      </c>
    </row>
    <row r="1215" spans="1:37" x14ac:dyDescent="0.3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>
        <f t="shared" si="18"/>
        <v>1</v>
      </c>
    </row>
    <row r="1216" spans="1:37" x14ac:dyDescent="0.3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>
        <f t="shared" si="18"/>
        <v>0</v>
      </c>
    </row>
    <row r="1217" spans="1:37" x14ac:dyDescent="0.3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>
        <f t="shared" si="18"/>
        <v>0</v>
      </c>
    </row>
    <row r="1218" spans="1:37" x14ac:dyDescent="0.3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>
        <f t="shared" si="18"/>
        <v>0</v>
      </c>
    </row>
    <row r="1219" spans="1:37" x14ac:dyDescent="0.3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>
        <f t="shared" ref="AK1219:AK1282" si="19">IF(B1219="Yes",1,0)</f>
        <v>0</v>
      </c>
    </row>
    <row r="1220" spans="1:37" x14ac:dyDescent="0.3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>
        <f t="shared" si="19"/>
        <v>0</v>
      </c>
    </row>
    <row r="1221" spans="1:37" x14ac:dyDescent="0.3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>
        <f t="shared" si="19"/>
        <v>0</v>
      </c>
    </row>
    <row r="1222" spans="1:37" x14ac:dyDescent="0.3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>
        <f t="shared" si="19"/>
        <v>0</v>
      </c>
    </row>
    <row r="1223" spans="1:37" x14ac:dyDescent="0.3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>
        <f t="shared" si="19"/>
        <v>0</v>
      </c>
    </row>
    <row r="1224" spans="1:37" x14ac:dyDescent="0.3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>
        <f t="shared" si="19"/>
        <v>1</v>
      </c>
    </row>
    <row r="1225" spans="1:37" x14ac:dyDescent="0.3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>
        <f t="shared" si="19"/>
        <v>1</v>
      </c>
    </row>
    <row r="1226" spans="1:37" x14ac:dyDescent="0.3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>
        <f t="shared" si="19"/>
        <v>0</v>
      </c>
    </row>
    <row r="1227" spans="1:37" x14ac:dyDescent="0.3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>
        <f t="shared" si="19"/>
        <v>0</v>
      </c>
    </row>
    <row r="1228" spans="1:37" x14ac:dyDescent="0.3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>
        <f t="shared" si="19"/>
        <v>0</v>
      </c>
    </row>
    <row r="1229" spans="1:37" x14ac:dyDescent="0.3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>
        <f t="shared" si="19"/>
        <v>0</v>
      </c>
    </row>
    <row r="1230" spans="1:37" x14ac:dyDescent="0.3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>
        <f t="shared" si="19"/>
        <v>0</v>
      </c>
    </row>
    <row r="1231" spans="1:37" x14ac:dyDescent="0.3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>
        <f t="shared" si="19"/>
        <v>0</v>
      </c>
    </row>
    <row r="1232" spans="1:37" x14ac:dyDescent="0.3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>
        <f t="shared" si="19"/>
        <v>0</v>
      </c>
    </row>
    <row r="1233" spans="1:37" x14ac:dyDescent="0.3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>
        <f t="shared" si="19"/>
        <v>0</v>
      </c>
    </row>
    <row r="1234" spans="1:37" x14ac:dyDescent="0.3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>
        <f t="shared" si="19"/>
        <v>0</v>
      </c>
    </row>
    <row r="1235" spans="1:37" x14ac:dyDescent="0.3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>
        <f t="shared" si="19"/>
        <v>0</v>
      </c>
    </row>
    <row r="1236" spans="1:37" x14ac:dyDescent="0.3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>
        <f t="shared" si="19"/>
        <v>0</v>
      </c>
    </row>
    <row r="1237" spans="1:37" x14ac:dyDescent="0.3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>
        <f t="shared" si="19"/>
        <v>0</v>
      </c>
    </row>
    <row r="1238" spans="1:37" x14ac:dyDescent="0.3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>
        <f t="shared" si="19"/>
        <v>1</v>
      </c>
    </row>
    <row r="1239" spans="1:37" x14ac:dyDescent="0.3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>
        <f t="shared" si="19"/>
        <v>1</v>
      </c>
    </row>
    <row r="1240" spans="1:37" x14ac:dyDescent="0.3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>
        <f t="shared" si="19"/>
        <v>0</v>
      </c>
    </row>
    <row r="1241" spans="1:37" x14ac:dyDescent="0.3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>
        <f t="shared" si="19"/>
        <v>0</v>
      </c>
    </row>
    <row r="1242" spans="1:37" x14ac:dyDescent="0.3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>
        <f t="shared" si="19"/>
        <v>0</v>
      </c>
    </row>
    <row r="1243" spans="1:37" x14ac:dyDescent="0.3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>
        <f t="shared" si="19"/>
        <v>0</v>
      </c>
    </row>
    <row r="1244" spans="1:37" x14ac:dyDescent="0.3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>
        <f t="shared" si="19"/>
        <v>0</v>
      </c>
    </row>
    <row r="1245" spans="1:37" x14ac:dyDescent="0.3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>
        <f t="shared" si="19"/>
        <v>0</v>
      </c>
    </row>
    <row r="1246" spans="1:37" x14ac:dyDescent="0.3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>
        <f t="shared" si="19"/>
        <v>0</v>
      </c>
    </row>
    <row r="1247" spans="1:37" x14ac:dyDescent="0.3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>
        <f t="shared" si="19"/>
        <v>0</v>
      </c>
    </row>
    <row r="1248" spans="1:37" x14ac:dyDescent="0.3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>
        <f t="shared" si="19"/>
        <v>1</v>
      </c>
    </row>
    <row r="1249" spans="1:37" x14ac:dyDescent="0.3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>
        <f t="shared" si="19"/>
        <v>0</v>
      </c>
    </row>
    <row r="1250" spans="1:37" x14ac:dyDescent="0.3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>
        <f t="shared" si="19"/>
        <v>0</v>
      </c>
    </row>
    <row r="1251" spans="1:37" x14ac:dyDescent="0.3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>
        <f t="shared" si="19"/>
        <v>1</v>
      </c>
    </row>
    <row r="1252" spans="1:37" x14ac:dyDescent="0.3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>
        <f t="shared" si="19"/>
        <v>0</v>
      </c>
    </row>
    <row r="1253" spans="1:37" x14ac:dyDescent="0.3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>
        <f t="shared" si="19"/>
        <v>0</v>
      </c>
    </row>
    <row r="1254" spans="1:37" x14ac:dyDescent="0.3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>
        <f t="shared" si="19"/>
        <v>0</v>
      </c>
    </row>
    <row r="1255" spans="1:37" x14ac:dyDescent="0.3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>
        <f t="shared" si="19"/>
        <v>0</v>
      </c>
    </row>
    <row r="1256" spans="1:37" x14ac:dyDescent="0.3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>
        <f t="shared" si="19"/>
        <v>0</v>
      </c>
    </row>
    <row r="1257" spans="1:37" x14ac:dyDescent="0.3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>
        <f t="shared" si="19"/>
        <v>1</v>
      </c>
    </row>
    <row r="1258" spans="1:37" x14ac:dyDescent="0.3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>
        <f t="shared" si="19"/>
        <v>0</v>
      </c>
    </row>
    <row r="1259" spans="1:37" x14ac:dyDescent="0.3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>
        <f t="shared" si="19"/>
        <v>1</v>
      </c>
    </row>
    <row r="1260" spans="1:37" x14ac:dyDescent="0.3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>
        <f t="shared" si="19"/>
        <v>0</v>
      </c>
    </row>
    <row r="1261" spans="1:37" x14ac:dyDescent="0.3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>
        <f t="shared" si="19"/>
        <v>0</v>
      </c>
    </row>
    <row r="1262" spans="1:37" x14ac:dyDescent="0.3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>
        <f t="shared" si="19"/>
        <v>0</v>
      </c>
    </row>
    <row r="1263" spans="1:37" x14ac:dyDescent="0.3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>
        <f t="shared" si="19"/>
        <v>0</v>
      </c>
    </row>
    <row r="1264" spans="1:37" x14ac:dyDescent="0.3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>
        <f t="shared" si="19"/>
        <v>1</v>
      </c>
    </row>
    <row r="1265" spans="1:37" x14ac:dyDescent="0.3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>
        <f t="shared" si="19"/>
        <v>0</v>
      </c>
    </row>
    <row r="1266" spans="1:37" x14ac:dyDescent="0.3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>
        <f t="shared" si="19"/>
        <v>0</v>
      </c>
    </row>
    <row r="1267" spans="1:37" x14ac:dyDescent="0.3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>
        <f t="shared" si="19"/>
        <v>0</v>
      </c>
    </row>
    <row r="1268" spans="1:37" x14ac:dyDescent="0.3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>
        <f t="shared" si="19"/>
        <v>0</v>
      </c>
    </row>
    <row r="1269" spans="1:37" x14ac:dyDescent="0.3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>
        <f t="shared" si="19"/>
        <v>0</v>
      </c>
    </row>
    <row r="1270" spans="1:37" x14ac:dyDescent="0.3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>
        <f t="shared" si="19"/>
        <v>0</v>
      </c>
    </row>
    <row r="1271" spans="1:37" x14ac:dyDescent="0.3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>
        <f t="shared" si="19"/>
        <v>0</v>
      </c>
    </row>
    <row r="1272" spans="1:37" x14ac:dyDescent="0.3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>
        <f t="shared" si="19"/>
        <v>0</v>
      </c>
    </row>
    <row r="1273" spans="1:37" x14ac:dyDescent="0.3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>
        <f t="shared" si="19"/>
        <v>1</v>
      </c>
    </row>
    <row r="1274" spans="1:37" x14ac:dyDescent="0.3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>
        <f t="shared" si="19"/>
        <v>0</v>
      </c>
    </row>
    <row r="1275" spans="1:37" x14ac:dyDescent="0.3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>
        <f t="shared" si="19"/>
        <v>1</v>
      </c>
    </row>
    <row r="1276" spans="1:37" x14ac:dyDescent="0.3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>
        <f t="shared" si="19"/>
        <v>0</v>
      </c>
    </row>
    <row r="1277" spans="1:37" x14ac:dyDescent="0.3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>
        <f t="shared" si="19"/>
        <v>0</v>
      </c>
    </row>
    <row r="1278" spans="1:37" x14ac:dyDescent="0.3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>
        <f t="shared" si="19"/>
        <v>0</v>
      </c>
    </row>
    <row r="1279" spans="1:37" x14ac:dyDescent="0.3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>
        <f t="shared" si="19"/>
        <v>0</v>
      </c>
    </row>
    <row r="1280" spans="1:37" x14ac:dyDescent="0.3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>
        <f t="shared" si="19"/>
        <v>0</v>
      </c>
    </row>
    <row r="1281" spans="1:37" x14ac:dyDescent="0.3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>
        <f t="shared" si="19"/>
        <v>1</v>
      </c>
    </row>
    <row r="1282" spans="1:37" x14ac:dyDescent="0.3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>
        <f t="shared" si="19"/>
        <v>0</v>
      </c>
    </row>
    <row r="1283" spans="1:37" x14ac:dyDescent="0.3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>
        <f t="shared" ref="AK1283:AK1346" si="20">IF(B1283="Yes",1,0)</f>
        <v>1</v>
      </c>
    </row>
    <row r="1284" spans="1:37" x14ac:dyDescent="0.3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>
        <f t="shared" si="20"/>
        <v>0</v>
      </c>
    </row>
    <row r="1285" spans="1:37" x14ac:dyDescent="0.3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>
        <f t="shared" si="20"/>
        <v>0</v>
      </c>
    </row>
    <row r="1286" spans="1:37" x14ac:dyDescent="0.3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>
        <f t="shared" si="20"/>
        <v>0</v>
      </c>
    </row>
    <row r="1287" spans="1:37" x14ac:dyDescent="0.3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>
        <f t="shared" si="20"/>
        <v>0</v>
      </c>
    </row>
    <row r="1288" spans="1:37" x14ac:dyDescent="0.3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>
        <f t="shared" si="20"/>
        <v>0</v>
      </c>
    </row>
    <row r="1289" spans="1:37" x14ac:dyDescent="0.3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>
        <f t="shared" si="20"/>
        <v>0</v>
      </c>
    </row>
    <row r="1290" spans="1:37" x14ac:dyDescent="0.3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>
        <f t="shared" si="20"/>
        <v>0</v>
      </c>
    </row>
    <row r="1291" spans="1:37" x14ac:dyDescent="0.3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>
        <f t="shared" si="20"/>
        <v>0</v>
      </c>
    </row>
    <row r="1292" spans="1:37" x14ac:dyDescent="0.3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>
        <f t="shared" si="20"/>
        <v>1</v>
      </c>
    </row>
    <row r="1293" spans="1:37" x14ac:dyDescent="0.3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>
        <f t="shared" si="20"/>
        <v>1</v>
      </c>
    </row>
    <row r="1294" spans="1:37" x14ac:dyDescent="0.3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>
        <f t="shared" si="20"/>
        <v>0</v>
      </c>
    </row>
    <row r="1295" spans="1:37" x14ac:dyDescent="0.3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>
        <f t="shared" si="20"/>
        <v>0</v>
      </c>
    </row>
    <row r="1296" spans="1:37" x14ac:dyDescent="0.3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>
        <f t="shared" si="20"/>
        <v>0</v>
      </c>
    </row>
    <row r="1297" spans="1:37" x14ac:dyDescent="0.3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>
        <f t="shared" si="20"/>
        <v>0</v>
      </c>
    </row>
    <row r="1298" spans="1:37" x14ac:dyDescent="0.3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>
        <f t="shared" si="20"/>
        <v>0</v>
      </c>
    </row>
    <row r="1299" spans="1:37" x14ac:dyDescent="0.3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>
        <f t="shared" si="20"/>
        <v>1</v>
      </c>
    </row>
    <row r="1300" spans="1:37" x14ac:dyDescent="0.3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>
        <f t="shared" si="20"/>
        <v>1</v>
      </c>
    </row>
    <row r="1301" spans="1:37" x14ac:dyDescent="0.3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>
        <f t="shared" si="20"/>
        <v>0</v>
      </c>
    </row>
    <row r="1302" spans="1:37" x14ac:dyDescent="0.3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>
        <f t="shared" si="20"/>
        <v>0</v>
      </c>
    </row>
    <row r="1303" spans="1:37" x14ac:dyDescent="0.3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>
        <f t="shared" si="20"/>
        <v>0</v>
      </c>
    </row>
    <row r="1304" spans="1:37" x14ac:dyDescent="0.3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>
        <f t="shared" si="20"/>
        <v>0</v>
      </c>
    </row>
    <row r="1305" spans="1:37" x14ac:dyDescent="0.3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>
        <f t="shared" si="20"/>
        <v>0</v>
      </c>
    </row>
    <row r="1306" spans="1:37" x14ac:dyDescent="0.3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>
        <f t="shared" si="20"/>
        <v>0</v>
      </c>
    </row>
    <row r="1307" spans="1:37" x14ac:dyDescent="0.3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>
        <f t="shared" si="20"/>
        <v>0</v>
      </c>
    </row>
    <row r="1308" spans="1:37" x14ac:dyDescent="0.3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>
        <f t="shared" si="20"/>
        <v>0</v>
      </c>
    </row>
    <row r="1309" spans="1:37" x14ac:dyDescent="0.3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>
        <f t="shared" si="20"/>
        <v>0</v>
      </c>
    </row>
    <row r="1310" spans="1:37" x14ac:dyDescent="0.3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>
        <f t="shared" si="20"/>
        <v>0</v>
      </c>
    </row>
    <row r="1311" spans="1:37" x14ac:dyDescent="0.3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>
        <f t="shared" si="20"/>
        <v>0</v>
      </c>
    </row>
    <row r="1312" spans="1:37" x14ac:dyDescent="0.3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>
        <f t="shared" si="20"/>
        <v>0</v>
      </c>
    </row>
    <row r="1313" spans="1:37" x14ac:dyDescent="0.3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>
        <f t="shared" si="20"/>
        <v>0</v>
      </c>
    </row>
    <row r="1314" spans="1:37" x14ac:dyDescent="0.3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>
        <f t="shared" si="20"/>
        <v>1</v>
      </c>
    </row>
    <row r="1315" spans="1:37" x14ac:dyDescent="0.3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>
        <f t="shared" si="20"/>
        <v>1</v>
      </c>
    </row>
    <row r="1316" spans="1:37" x14ac:dyDescent="0.3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>
        <f t="shared" si="20"/>
        <v>0</v>
      </c>
    </row>
    <row r="1317" spans="1:37" x14ac:dyDescent="0.3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>
        <f t="shared" si="20"/>
        <v>0</v>
      </c>
    </row>
    <row r="1318" spans="1:37" x14ac:dyDescent="0.3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>
        <f t="shared" si="20"/>
        <v>0</v>
      </c>
    </row>
    <row r="1319" spans="1:37" x14ac:dyDescent="0.3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>
        <f t="shared" si="20"/>
        <v>0</v>
      </c>
    </row>
    <row r="1320" spans="1:37" x14ac:dyDescent="0.3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>
        <f t="shared" si="20"/>
        <v>0</v>
      </c>
    </row>
    <row r="1321" spans="1:37" x14ac:dyDescent="0.3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>
        <f t="shared" si="20"/>
        <v>0</v>
      </c>
    </row>
    <row r="1322" spans="1:37" x14ac:dyDescent="0.3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>
        <f t="shared" si="20"/>
        <v>0</v>
      </c>
    </row>
    <row r="1323" spans="1:37" x14ac:dyDescent="0.3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>
        <f t="shared" si="20"/>
        <v>0</v>
      </c>
    </row>
    <row r="1324" spans="1:37" x14ac:dyDescent="0.3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>
        <f t="shared" si="20"/>
        <v>0</v>
      </c>
    </row>
    <row r="1325" spans="1:37" x14ac:dyDescent="0.3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>
        <f t="shared" si="20"/>
        <v>0</v>
      </c>
    </row>
    <row r="1326" spans="1:37" x14ac:dyDescent="0.3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>
        <f t="shared" si="20"/>
        <v>0</v>
      </c>
    </row>
    <row r="1327" spans="1:37" x14ac:dyDescent="0.3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>
        <f t="shared" si="20"/>
        <v>0</v>
      </c>
    </row>
    <row r="1328" spans="1:37" x14ac:dyDescent="0.3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>
        <f t="shared" si="20"/>
        <v>1</v>
      </c>
    </row>
    <row r="1329" spans="1:37" x14ac:dyDescent="0.3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>
        <f t="shared" si="20"/>
        <v>0</v>
      </c>
    </row>
    <row r="1330" spans="1:37" x14ac:dyDescent="0.3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>
        <f t="shared" si="20"/>
        <v>0</v>
      </c>
    </row>
    <row r="1331" spans="1:37" x14ac:dyDescent="0.3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>
        <f t="shared" si="20"/>
        <v>0</v>
      </c>
    </row>
    <row r="1332" spans="1:37" x14ac:dyDescent="0.3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>
        <f t="shared" si="20"/>
        <v>0</v>
      </c>
    </row>
    <row r="1333" spans="1:37" x14ac:dyDescent="0.3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>
        <f t="shared" si="20"/>
        <v>0</v>
      </c>
    </row>
    <row r="1334" spans="1:37" x14ac:dyDescent="0.3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>
        <f t="shared" si="20"/>
        <v>1</v>
      </c>
    </row>
    <row r="1335" spans="1:37" x14ac:dyDescent="0.3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>
        <f t="shared" si="20"/>
        <v>1</v>
      </c>
    </row>
    <row r="1336" spans="1:37" x14ac:dyDescent="0.3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>
        <f t="shared" si="20"/>
        <v>0</v>
      </c>
    </row>
    <row r="1337" spans="1:37" x14ac:dyDescent="0.3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>
        <f t="shared" si="20"/>
        <v>0</v>
      </c>
    </row>
    <row r="1338" spans="1:37" x14ac:dyDescent="0.3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>
        <f t="shared" si="20"/>
        <v>0</v>
      </c>
    </row>
    <row r="1339" spans="1:37" x14ac:dyDescent="0.3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>
        <f t="shared" si="20"/>
        <v>0</v>
      </c>
    </row>
    <row r="1340" spans="1:37" x14ac:dyDescent="0.3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>
        <f t="shared" si="20"/>
        <v>1</v>
      </c>
    </row>
    <row r="1341" spans="1:37" x14ac:dyDescent="0.3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>
        <f t="shared" si="20"/>
        <v>1</v>
      </c>
    </row>
    <row r="1342" spans="1:37" x14ac:dyDescent="0.3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>
        <f t="shared" si="20"/>
        <v>0</v>
      </c>
    </row>
    <row r="1343" spans="1:37" x14ac:dyDescent="0.3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>
        <f t="shared" si="20"/>
        <v>0</v>
      </c>
    </row>
    <row r="1344" spans="1:37" x14ac:dyDescent="0.3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>
        <f t="shared" si="20"/>
        <v>0</v>
      </c>
    </row>
    <row r="1345" spans="1:37" x14ac:dyDescent="0.3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>
        <f t="shared" si="20"/>
        <v>0</v>
      </c>
    </row>
    <row r="1346" spans="1:37" x14ac:dyDescent="0.3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>
        <f t="shared" si="20"/>
        <v>0</v>
      </c>
    </row>
    <row r="1347" spans="1:37" x14ac:dyDescent="0.3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>
        <f t="shared" ref="AK1347:AK1410" si="21">IF(B1347="Yes",1,0)</f>
        <v>0</v>
      </c>
    </row>
    <row r="1348" spans="1:37" x14ac:dyDescent="0.3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>
        <f t="shared" si="21"/>
        <v>0</v>
      </c>
    </row>
    <row r="1349" spans="1:37" x14ac:dyDescent="0.3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>
        <f t="shared" si="21"/>
        <v>0</v>
      </c>
    </row>
    <row r="1350" spans="1:37" x14ac:dyDescent="0.3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>
        <f t="shared" si="21"/>
        <v>0</v>
      </c>
    </row>
    <row r="1351" spans="1:37" x14ac:dyDescent="0.3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>
        <f t="shared" si="21"/>
        <v>0</v>
      </c>
    </row>
    <row r="1352" spans="1:37" x14ac:dyDescent="0.3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>
        <f t="shared" si="21"/>
        <v>0</v>
      </c>
    </row>
    <row r="1353" spans="1:37" x14ac:dyDescent="0.3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>
        <f t="shared" si="21"/>
        <v>0</v>
      </c>
    </row>
    <row r="1354" spans="1:37" x14ac:dyDescent="0.3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>
        <f t="shared" si="21"/>
        <v>0</v>
      </c>
    </row>
    <row r="1355" spans="1:37" x14ac:dyDescent="0.3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>
        <f t="shared" si="21"/>
        <v>1</v>
      </c>
    </row>
    <row r="1356" spans="1:37" x14ac:dyDescent="0.3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>
        <f t="shared" si="21"/>
        <v>1</v>
      </c>
    </row>
    <row r="1357" spans="1:37" x14ac:dyDescent="0.3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>
        <f t="shared" si="21"/>
        <v>0</v>
      </c>
    </row>
    <row r="1358" spans="1:37" x14ac:dyDescent="0.3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>
        <f t="shared" si="21"/>
        <v>0</v>
      </c>
    </row>
    <row r="1359" spans="1:37" x14ac:dyDescent="0.3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>
        <f t="shared" si="21"/>
        <v>0</v>
      </c>
    </row>
    <row r="1360" spans="1:37" x14ac:dyDescent="0.3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>
        <f t="shared" si="21"/>
        <v>0</v>
      </c>
    </row>
    <row r="1361" spans="1:37" x14ac:dyDescent="0.3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>
        <f t="shared" si="21"/>
        <v>0</v>
      </c>
    </row>
    <row r="1362" spans="1:37" x14ac:dyDescent="0.3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>
        <f t="shared" si="21"/>
        <v>0</v>
      </c>
    </row>
    <row r="1363" spans="1:37" x14ac:dyDescent="0.3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>
        <f t="shared" si="21"/>
        <v>0</v>
      </c>
    </row>
    <row r="1364" spans="1:37" x14ac:dyDescent="0.3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>
        <f t="shared" si="21"/>
        <v>0</v>
      </c>
    </row>
    <row r="1365" spans="1:37" x14ac:dyDescent="0.3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>
        <f t="shared" si="21"/>
        <v>0</v>
      </c>
    </row>
    <row r="1366" spans="1:37" x14ac:dyDescent="0.3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>
        <f t="shared" si="21"/>
        <v>0</v>
      </c>
    </row>
    <row r="1367" spans="1:37" x14ac:dyDescent="0.3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>
        <f t="shared" si="21"/>
        <v>1</v>
      </c>
    </row>
    <row r="1368" spans="1:37" x14ac:dyDescent="0.3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>
        <f t="shared" si="21"/>
        <v>0</v>
      </c>
    </row>
    <row r="1369" spans="1:37" x14ac:dyDescent="0.3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>
        <f t="shared" si="21"/>
        <v>0</v>
      </c>
    </row>
    <row r="1370" spans="1:37" x14ac:dyDescent="0.3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>
        <f t="shared" si="21"/>
        <v>0</v>
      </c>
    </row>
    <row r="1371" spans="1:37" x14ac:dyDescent="0.3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>
        <f t="shared" si="21"/>
        <v>1</v>
      </c>
    </row>
    <row r="1372" spans="1:37" x14ac:dyDescent="0.3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>
        <f t="shared" si="21"/>
        <v>0</v>
      </c>
    </row>
    <row r="1373" spans="1:37" x14ac:dyDescent="0.3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>
        <f t="shared" si="21"/>
        <v>0</v>
      </c>
    </row>
    <row r="1374" spans="1:37" x14ac:dyDescent="0.3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>
        <f t="shared" si="21"/>
        <v>0</v>
      </c>
    </row>
    <row r="1375" spans="1:37" x14ac:dyDescent="0.3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>
        <f t="shared" si="21"/>
        <v>0</v>
      </c>
    </row>
    <row r="1376" spans="1:37" x14ac:dyDescent="0.3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>
        <f t="shared" si="21"/>
        <v>0</v>
      </c>
    </row>
    <row r="1377" spans="1:37" x14ac:dyDescent="0.3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>
        <f t="shared" si="21"/>
        <v>1</v>
      </c>
    </row>
    <row r="1378" spans="1:37" x14ac:dyDescent="0.3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>
        <f t="shared" si="21"/>
        <v>0</v>
      </c>
    </row>
    <row r="1379" spans="1:37" x14ac:dyDescent="0.3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>
        <f t="shared" si="21"/>
        <v>0</v>
      </c>
    </row>
    <row r="1380" spans="1:37" x14ac:dyDescent="0.3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>
        <f t="shared" si="21"/>
        <v>0</v>
      </c>
    </row>
    <row r="1381" spans="1:37" x14ac:dyDescent="0.3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>
        <f t="shared" si="21"/>
        <v>1</v>
      </c>
    </row>
    <row r="1382" spans="1:37" x14ac:dyDescent="0.3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>
        <f t="shared" si="21"/>
        <v>0</v>
      </c>
    </row>
    <row r="1383" spans="1:37" x14ac:dyDescent="0.3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>
        <f t="shared" si="21"/>
        <v>0</v>
      </c>
    </row>
    <row r="1384" spans="1:37" x14ac:dyDescent="0.3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>
        <f t="shared" si="21"/>
        <v>0</v>
      </c>
    </row>
    <row r="1385" spans="1:37" x14ac:dyDescent="0.3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>
        <f t="shared" si="21"/>
        <v>0</v>
      </c>
    </row>
    <row r="1386" spans="1:37" x14ac:dyDescent="0.3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>
        <f t="shared" si="21"/>
        <v>0</v>
      </c>
    </row>
    <row r="1387" spans="1:37" x14ac:dyDescent="0.3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>
        <f t="shared" si="21"/>
        <v>0</v>
      </c>
    </row>
    <row r="1388" spans="1:37" x14ac:dyDescent="0.3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>
        <f t="shared" si="21"/>
        <v>0</v>
      </c>
    </row>
    <row r="1389" spans="1:37" x14ac:dyDescent="0.3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>
        <f t="shared" si="21"/>
        <v>0</v>
      </c>
    </row>
    <row r="1390" spans="1:37" x14ac:dyDescent="0.3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>
        <f t="shared" si="21"/>
        <v>0</v>
      </c>
    </row>
    <row r="1391" spans="1:37" x14ac:dyDescent="0.3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>
        <f t="shared" si="21"/>
        <v>0</v>
      </c>
    </row>
    <row r="1392" spans="1:37" x14ac:dyDescent="0.3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>
        <f t="shared" si="21"/>
        <v>1</v>
      </c>
    </row>
    <row r="1393" spans="1:37" x14ac:dyDescent="0.3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>
        <f t="shared" si="21"/>
        <v>0</v>
      </c>
    </row>
    <row r="1394" spans="1:37" x14ac:dyDescent="0.3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>
        <f t="shared" si="21"/>
        <v>0</v>
      </c>
    </row>
    <row r="1395" spans="1:37" x14ac:dyDescent="0.3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>
        <f t="shared" si="21"/>
        <v>0</v>
      </c>
    </row>
    <row r="1396" spans="1:37" x14ac:dyDescent="0.3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>
        <f t="shared" si="21"/>
        <v>0</v>
      </c>
    </row>
    <row r="1397" spans="1:37" x14ac:dyDescent="0.3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>
        <f t="shared" si="21"/>
        <v>1</v>
      </c>
    </row>
    <row r="1398" spans="1:37" x14ac:dyDescent="0.3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>
        <f t="shared" si="21"/>
        <v>1</v>
      </c>
    </row>
    <row r="1399" spans="1:37" x14ac:dyDescent="0.3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>
        <f t="shared" si="21"/>
        <v>0</v>
      </c>
    </row>
    <row r="1400" spans="1:37" x14ac:dyDescent="0.3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>
        <f t="shared" si="21"/>
        <v>0</v>
      </c>
    </row>
    <row r="1401" spans="1:37" x14ac:dyDescent="0.3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>
        <f t="shared" si="21"/>
        <v>0</v>
      </c>
    </row>
    <row r="1402" spans="1:37" x14ac:dyDescent="0.3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>
        <f t="shared" si="21"/>
        <v>0</v>
      </c>
    </row>
    <row r="1403" spans="1:37" x14ac:dyDescent="0.3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>
        <f t="shared" si="21"/>
        <v>0</v>
      </c>
    </row>
    <row r="1404" spans="1:37" x14ac:dyDescent="0.3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>
        <f t="shared" si="21"/>
        <v>0</v>
      </c>
    </row>
    <row r="1405" spans="1:37" x14ac:dyDescent="0.3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>
        <f t="shared" si="21"/>
        <v>0</v>
      </c>
    </row>
    <row r="1406" spans="1:37" x14ac:dyDescent="0.3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>
        <f t="shared" si="21"/>
        <v>0</v>
      </c>
    </row>
    <row r="1407" spans="1:37" x14ac:dyDescent="0.3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>
        <f t="shared" si="21"/>
        <v>0</v>
      </c>
    </row>
    <row r="1408" spans="1:37" x14ac:dyDescent="0.3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>
        <f t="shared" si="21"/>
        <v>0</v>
      </c>
    </row>
    <row r="1409" spans="1:37" x14ac:dyDescent="0.3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>
        <f t="shared" si="21"/>
        <v>0</v>
      </c>
    </row>
    <row r="1410" spans="1:37" x14ac:dyDescent="0.3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>
        <f t="shared" si="21"/>
        <v>0</v>
      </c>
    </row>
    <row r="1411" spans="1:37" x14ac:dyDescent="0.3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>
        <f t="shared" ref="AK1411:AK1471" si="22">IF(B1411="Yes",1,0)</f>
        <v>0</v>
      </c>
    </row>
    <row r="1412" spans="1:37" x14ac:dyDescent="0.3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>
        <f t="shared" si="22"/>
        <v>0</v>
      </c>
    </row>
    <row r="1413" spans="1:37" x14ac:dyDescent="0.3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>
        <f t="shared" si="22"/>
        <v>0</v>
      </c>
    </row>
    <row r="1414" spans="1:37" x14ac:dyDescent="0.3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>
        <f t="shared" si="22"/>
        <v>0</v>
      </c>
    </row>
    <row r="1415" spans="1:37" x14ac:dyDescent="0.3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>
        <f t="shared" si="22"/>
        <v>0</v>
      </c>
    </row>
    <row r="1416" spans="1:37" x14ac:dyDescent="0.3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>
        <f t="shared" si="22"/>
        <v>0</v>
      </c>
    </row>
    <row r="1417" spans="1:37" x14ac:dyDescent="0.3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>
        <f t="shared" si="22"/>
        <v>0</v>
      </c>
    </row>
    <row r="1418" spans="1:37" x14ac:dyDescent="0.3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>
        <f t="shared" si="22"/>
        <v>0</v>
      </c>
    </row>
    <row r="1419" spans="1:37" x14ac:dyDescent="0.3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>
        <f t="shared" si="22"/>
        <v>0</v>
      </c>
    </row>
    <row r="1420" spans="1:37" x14ac:dyDescent="0.3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>
        <f t="shared" si="22"/>
        <v>0</v>
      </c>
    </row>
    <row r="1421" spans="1:37" x14ac:dyDescent="0.3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>
        <f t="shared" si="22"/>
        <v>0</v>
      </c>
    </row>
    <row r="1422" spans="1:37" x14ac:dyDescent="0.3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>
        <f t="shared" si="22"/>
        <v>0</v>
      </c>
    </row>
    <row r="1423" spans="1:37" x14ac:dyDescent="0.3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>
        <f t="shared" si="22"/>
        <v>0</v>
      </c>
    </row>
    <row r="1424" spans="1:37" x14ac:dyDescent="0.3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>
        <f t="shared" si="22"/>
        <v>0</v>
      </c>
    </row>
    <row r="1425" spans="1:37" x14ac:dyDescent="0.3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>
        <f t="shared" si="22"/>
        <v>0</v>
      </c>
    </row>
    <row r="1426" spans="1:37" x14ac:dyDescent="0.3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>
        <f t="shared" si="22"/>
        <v>0</v>
      </c>
    </row>
    <row r="1427" spans="1:37" x14ac:dyDescent="0.3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>
        <f t="shared" si="22"/>
        <v>0</v>
      </c>
    </row>
    <row r="1428" spans="1:37" x14ac:dyDescent="0.3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>
        <f t="shared" si="22"/>
        <v>0</v>
      </c>
    </row>
    <row r="1429" spans="1:37" x14ac:dyDescent="0.3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>
        <f t="shared" si="22"/>
        <v>0</v>
      </c>
    </row>
    <row r="1430" spans="1:37" x14ac:dyDescent="0.3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>
        <f t="shared" si="22"/>
        <v>0</v>
      </c>
    </row>
    <row r="1431" spans="1:37" x14ac:dyDescent="0.3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>
        <f t="shared" si="22"/>
        <v>0</v>
      </c>
    </row>
    <row r="1432" spans="1:37" x14ac:dyDescent="0.3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>
        <f t="shared" si="22"/>
        <v>0</v>
      </c>
    </row>
    <row r="1433" spans="1:37" x14ac:dyDescent="0.3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>
        <f t="shared" si="22"/>
        <v>0</v>
      </c>
    </row>
    <row r="1434" spans="1:37" x14ac:dyDescent="0.3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>
        <f t="shared" si="22"/>
        <v>0</v>
      </c>
    </row>
    <row r="1435" spans="1:37" x14ac:dyDescent="0.3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>
        <f t="shared" si="22"/>
        <v>0</v>
      </c>
    </row>
    <row r="1436" spans="1:37" x14ac:dyDescent="0.3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>
        <f t="shared" si="22"/>
        <v>0</v>
      </c>
    </row>
    <row r="1437" spans="1:37" x14ac:dyDescent="0.3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>
        <f t="shared" si="22"/>
        <v>0</v>
      </c>
    </row>
    <row r="1438" spans="1:37" x14ac:dyDescent="0.3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>
        <f t="shared" si="22"/>
        <v>0</v>
      </c>
    </row>
    <row r="1439" spans="1:37" x14ac:dyDescent="0.3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>
        <f t="shared" si="22"/>
        <v>0</v>
      </c>
    </row>
    <row r="1440" spans="1:37" x14ac:dyDescent="0.3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>
        <f t="shared" si="22"/>
        <v>1</v>
      </c>
    </row>
    <row r="1441" spans="1:37" x14ac:dyDescent="0.3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>
        <f t="shared" si="22"/>
        <v>0</v>
      </c>
    </row>
    <row r="1442" spans="1:37" x14ac:dyDescent="0.3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>
        <f t="shared" si="22"/>
        <v>0</v>
      </c>
    </row>
    <row r="1443" spans="1:37" x14ac:dyDescent="0.3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>
        <f t="shared" si="22"/>
        <v>0</v>
      </c>
    </row>
    <row r="1444" spans="1:37" x14ac:dyDescent="0.3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>
        <f t="shared" si="22"/>
        <v>1</v>
      </c>
    </row>
    <row r="1445" spans="1:37" x14ac:dyDescent="0.3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>
        <f t="shared" si="22"/>
        <v>0</v>
      </c>
    </row>
    <row r="1446" spans="1:37" x14ac:dyDescent="0.3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>
        <f t="shared" si="22"/>
        <v>1</v>
      </c>
    </row>
    <row r="1447" spans="1:37" x14ac:dyDescent="0.3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>
        <f t="shared" si="22"/>
        <v>0</v>
      </c>
    </row>
    <row r="1448" spans="1:37" x14ac:dyDescent="0.3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>
        <f t="shared" si="22"/>
        <v>0</v>
      </c>
    </row>
    <row r="1449" spans="1:37" x14ac:dyDescent="0.3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>
        <f t="shared" si="22"/>
        <v>0</v>
      </c>
    </row>
    <row r="1450" spans="1:37" x14ac:dyDescent="0.3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>
        <f t="shared" si="22"/>
        <v>0</v>
      </c>
    </row>
    <row r="1451" spans="1:37" x14ac:dyDescent="0.3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>
        <f t="shared" si="22"/>
        <v>0</v>
      </c>
    </row>
    <row r="1452" spans="1:37" x14ac:dyDescent="0.3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>
        <f t="shared" si="22"/>
        <v>0</v>
      </c>
    </row>
    <row r="1453" spans="1:37" x14ac:dyDescent="0.3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>
        <f t="shared" si="22"/>
        <v>0</v>
      </c>
    </row>
    <row r="1454" spans="1:37" x14ac:dyDescent="0.3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>
        <f t="shared" si="22"/>
        <v>1</v>
      </c>
    </row>
    <row r="1455" spans="1:37" x14ac:dyDescent="0.3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>
        <f t="shared" si="22"/>
        <v>0</v>
      </c>
    </row>
    <row r="1456" spans="1:37" x14ac:dyDescent="0.3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>
        <f t="shared" si="22"/>
        <v>0</v>
      </c>
    </row>
    <row r="1457" spans="1:37" x14ac:dyDescent="0.3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>
        <f t="shared" si="22"/>
        <v>0</v>
      </c>
    </row>
    <row r="1458" spans="1:37" x14ac:dyDescent="0.3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>
        <f t="shared" si="22"/>
        <v>0</v>
      </c>
    </row>
    <row r="1459" spans="1:37" x14ac:dyDescent="0.3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>
        <f t="shared" si="22"/>
        <v>0</v>
      </c>
    </row>
    <row r="1460" spans="1:37" x14ac:dyDescent="0.3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>
        <f t="shared" si="22"/>
        <v>0</v>
      </c>
    </row>
    <row r="1461" spans="1:37" x14ac:dyDescent="0.3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>
        <f t="shared" si="22"/>
        <v>0</v>
      </c>
    </row>
    <row r="1462" spans="1:37" x14ac:dyDescent="0.3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>
        <f t="shared" si="22"/>
        <v>0</v>
      </c>
    </row>
    <row r="1463" spans="1:37" x14ac:dyDescent="0.3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>
        <f t="shared" si="22"/>
        <v>1</v>
      </c>
    </row>
    <row r="1464" spans="1:37" x14ac:dyDescent="0.3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>
        <f t="shared" si="22"/>
        <v>0</v>
      </c>
    </row>
    <row r="1465" spans="1:37" x14ac:dyDescent="0.3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>
        <f t="shared" si="22"/>
        <v>0</v>
      </c>
    </row>
    <row r="1466" spans="1:37" x14ac:dyDescent="0.3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>
        <f t="shared" si="22"/>
        <v>0</v>
      </c>
    </row>
    <row r="1467" spans="1:37" x14ac:dyDescent="0.3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>
        <f t="shared" si="22"/>
        <v>0</v>
      </c>
    </row>
    <row r="1468" spans="1:37" x14ac:dyDescent="0.3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>
        <f t="shared" si="22"/>
        <v>0</v>
      </c>
    </row>
    <row r="1469" spans="1:37" x14ac:dyDescent="0.3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>
        <f t="shared" si="22"/>
        <v>0</v>
      </c>
    </row>
    <row r="1470" spans="1:37" x14ac:dyDescent="0.3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>
        <f t="shared" si="22"/>
        <v>0</v>
      </c>
    </row>
    <row r="1471" spans="1:37" x14ac:dyDescent="0.3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>
        <f t="shared" si="22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6A69-AF00-4824-B403-90E2E281F1E0}">
  <dimension ref="C4:G14"/>
  <sheetViews>
    <sheetView workbookViewId="0">
      <selection activeCell="C13" sqref="C13:C14"/>
    </sheetView>
  </sheetViews>
  <sheetFormatPr defaultRowHeight="14.4" x14ac:dyDescent="0.3"/>
  <cols>
    <col min="3" max="3" width="39.88671875" customWidth="1"/>
    <col min="6" max="6" width="40.109375" customWidth="1"/>
  </cols>
  <sheetData>
    <row r="4" spans="3:7" x14ac:dyDescent="0.3">
      <c r="C4" s="5" t="s">
        <v>69</v>
      </c>
      <c r="F4" t="s">
        <v>80</v>
      </c>
      <c r="G4" t="s">
        <v>79</v>
      </c>
    </row>
    <row r="5" spans="3:7" x14ac:dyDescent="0.3">
      <c r="C5">
        <f>AVERAGEIF(WA_Fn_UseC__HR_Employee_Attrition[Attrition],"Yes",WA_Fn_UseC__HR_Employee_Attrition[Age])</f>
        <v>33.607594936708864</v>
      </c>
      <c r="F5">
        <f>CORREL('HR-Employee-Attrition'!AK2:AK1471,WA_Fn_UseC__HR_Employee_Attrition[Age])</f>
        <v>-0.15920500686577846</v>
      </c>
    </row>
    <row r="7" spans="3:7" x14ac:dyDescent="0.3">
      <c r="C7" s="5" t="s">
        <v>71</v>
      </c>
      <c r="F7" t="s">
        <v>81</v>
      </c>
    </row>
    <row r="8" spans="3:7" x14ac:dyDescent="0.3">
      <c r="C8">
        <f>AVERAGEIF(WA_Fn_UseC__HR_Employee_Attrition[Attrition],"Yes",WA_Fn_UseC__HR_Employee_Attrition[MonthlyIncome])</f>
        <v>4787.0928270042195</v>
      </c>
      <c r="F8">
        <f>CORREL('HR-Employee-Attrition'!AK2:AK1471,WA_Fn_UseC__HR_Employee_Attrition[MonthlyIncome])</f>
        <v>-0.15983958238498774</v>
      </c>
    </row>
    <row r="10" spans="3:7" x14ac:dyDescent="0.3">
      <c r="C10" s="5" t="s">
        <v>72</v>
      </c>
      <c r="F10" t="s">
        <v>82</v>
      </c>
    </row>
    <row r="11" spans="3:7" x14ac:dyDescent="0.3">
      <c r="C11">
        <f>COUNTIF(WA_Fn_UseC__HR_Employee_Attrition[OverTime],"Yes")</f>
        <v>416</v>
      </c>
    </row>
    <row r="13" spans="3:7" x14ac:dyDescent="0.3">
      <c r="C13" s="5" t="s">
        <v>73</v>
      </c>
    </row>
    <row r="14" spans="3:7" x14ac:dyDescent="0.3">
      <c r="C14">
        <f>AVERAGE(WA_Fn_UseC__HR_Employee_Attrition[YearsAtCompany])</f>
        <v>7.0081632653061225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9520-977B-4FE3-B833-17B7C75F6288}">
  <dimension ref="A1:W90"/>
  <sheetViews>
    <sheetView tabSelected="1" workbookViewId="0">
      <selection activeCell="Q3" sqref="Q3:T9"/>
    </sheetView>
  </sheetViews>
  <sheetFormatPr defaultRowHeight="14.4" x14ac:dyDescent="0.3"/>
  <cols>
    <col min="1" max="1" width="42.77734375" customWidth="1"/>
    <col min="5" max="5" width="11.44140625" customWidth="1"/>
    <col min="7" max="7" width="15.109375" customWidth="1"/>
    <col min="8" max="8" width="22.77734375" customWidth="1"/>
    <col min="12" max="12" width="21.88671875" customWidth="1"/>
    <col min="13" max="13" width="16.44140625" customWidth="1"/>
    <col min="15" max="15" width="13.6640625" customWidth="1"/>
    <col min="17" max="18" width="15.44140625" customWidth="1"/>
    <col min="20" max="20" width="12.109375" customWidth="1"/>
  </cols>
  <sheetData>
    <row r="1" spans="1:23" x14ac:dyDescent="0.3">
      <c r="A1" s="5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">
      <c r="A2">
        <f>AVERAGEIF(WA_Fn_UseC__HR_Employee_Attrition[Attrition],"Yes",WA_Fn_UseC__HR_Employee_Attrition[Age])</f>
        <v>33.607594936708864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5" t="s">
        <v>71</v>
      </c>
      <c r="B3" s="2" t="s">
        <v>77</v>
      </c>
      <c r="C3" s="2" t="s">
        <v>64</v>
      </c>
      <c r="F3" s="6"/>
      <c r="G3" s="2" t="s">
        <v>62</v>
      </c>
      <c r="H3" t="s">
        <v>70</v>
      </c>
      <c r="I3" s="6"/>
      <c r="J3" s="6"/>
      <c r="K3" s="6"/>
      <c r="L3" s="2" t="s">
        <v>75</v>
      </c>
      <c r="M3" s="2" t="s">
        <v>64</v>
      </c>
      <c r="P3" s="6"/>
      <c r="Q3" s="2" t="s">
        <v>76</v>
      </c>
      <c r="R3" s="2" t="s">
        <v>64</v>
      </c>
      <c r="U3" s="6"/>
      <c r="V3" s="6"/>
      <c r="W3" s="6"/>
    </row>
    <row r="4" spans="1:23" x14ac:dyDescent="0.3">
      <c r="A4">
        <f>AVERAGEIF(WA_Fn_UseC__HR_Employee_Attrition[Attrition],"Yes",WA_Fn_UseC__HR_Employee_Attrition[MonthlyIncome])</f>
        <v>4787.0928270042195</v>
      </c>
      <c r="B4" s="2" t="s">
        <v>62</v>
      </c>
      <c r="C4" t="s">
        <v>43</v>
      </c>
      <c r="D4" t="s">
        <v>35</v>
      </c>
      <c r="E4" t="s">
        <v>63</v>
      </c>
      <c r="F4" s="6"/>
      <c r="G4" s="3" t="s">
        <v>55</v>
      </c>
      <c r="H4" s="4">
        <v>1.0237347294938919</v>
      </c>
      <c r="I4" s="6"/>
      <c r="J4" s="6"/>
      <c r="K4" s="6"/>
      <c r="L4" s="2" t="s">
        <v>62</v>
      </c>
      <c r="M4" t="s">
        <v>43</v>
      </c>
      <c r="N4" t="s">
        <v>35</v>
      </c>
      <c r="O4" t="s">
        <v>63</v>
      </c>
      <c r="P4" s="6"/>
      <c r="Q4" s="2" t="s">
        <v>62</v>
      </c>
      <c r="R4" t="s">
        <v>43</v>
      </c>
      <c r="S4" t="s">
        <v>35</v>
      </c>
      <c r="T4" t="s">
        <v>63</v>
      </c>
      <c r="U4" s="6"/>
      <c r="V4" s="6"/>
      <c r="W4" s="6"/>
    </row>
    <row r="5" spans="1:23" x14ac:dyDescent="0.3">
      <c r="A5" s="5" t="s">
        <v>72</v>
      </c>
      <c r="B5" s="3" t="s">
        <v>52</v>
      </c>
      <c r="C5" s="1">
        <v>294</v>
      </c>
      <c r="D5" s="1">
        <v>33</v>
      </c>
      <c r="E5" s="1">
        <v>327</v>
      </c>
      <c r="F5" s="6"/>
      <c r="G5" s="3" t="s">
        <v>44</v>
      </c>
      <c r="H5" s="4">
        <v>1.0227380119832914</v>
      </c>
      <c r="I5" s="6"/>
      <c r="J5" s="6"/>
      <c r="K5" s="6"/>
      <c r="L5" s="3">
        <v>0</v>
      </c>
      <c r="M5" s="1">
        <v>39</v>
      </c>
      <c r="N5" s="1">
        <v>15</v>
      </c>
      <c r="O5" s="1">
        <v>54</v>
      </c>
      <c r="P5" s="6"/>
      <c r="Q5" s="3">
        <v>1</v>
      </c>
      <c r="R5" s="1">
        <v>55</v>
      </c>
      <c r="S5" s="1">
        <v>28</v>
      </c>
      <c r="T5" s="1">
        <v>83</v>
      </c>
      <c r="U5" s="6"/>
      <c r="V5" s="6"/>
      <c r="W5" s="6"/>
    </row>
    <row r="6" spans="1:23" x14ac:dyDescent="0.3">
      <c r="A6">
        <f>COUNTIF(WA_Fn_UseC__HR_Employee_Attrition[OverTime],"Yes")</f>
        <v>416</v>
      </c>
      <c r="B6" s="3" t="s">
        <v>48</v>
      </c>
      <c r="C6" s="1">
        <v>589</v>
      </c>
      <c r="D6" s="1">
        <v>84</v>
      </c>
      <c r="E6" s="1">
        <v>673</v>
      </c>
      <c r="F6" s="6"/>
      <c r="G6" s="3" t="s">
        <v>36</v>
      </c>
      <c r="H6" s="4">
        <v>0.99054780561509537</v>
      </c>
      <c r="I6" s="6"/>
      <c r="J6" s="6"/>
      <c r="K6" s="6"/>
      <c r="L6" s="3">
        <v>1</v>
      </c>
      <c r="M6" s="1">
        <v>62</v>
      </c>
      <c r="N6" s="1">
        <v>9</v>
      </c>
      <c r="O6" s="1">
        <v>71</v>
      </c>
      <c r="P6" s="6"/>
      <c r="Q6" s="3">
        <v>2</v>
      </c>
      <c r="R6" s="1">
        <v>304</v>
      </c>
      <c r="S6" s="1">
        <v>71</v>
      </c>
      <c r="T6" s="1">
        <v>375</v>
      </c>
      <c r="U6" s="6"/>
      <c r="V6" s="6"/>
      <c r="W6" s="6"/>
    </row>
    <row r="7" spans="1:23" x14ac:dyDescent="0.3">
      <c r="A7" s="5" t="s">
        <v>73</v>
      </c>
      <c r="B7" s="3" t="s">
        <v>41</v>
      </c>
      <c r="C7" s="1">
        <v>350</v>
      </c>
      <c r="D7" s="1">
        <v>120</v>
      </c>
      <c r="E7" s="1">
        <v>470</v>
      </c>
      <c r="F7" s="6"/>
      <c r="G7" s="6"/>
      <c r="H7" s="6"/>
      <c r="I7" s="6"/>
      <c r="J7" s="6"/>
      <c r="K7" s="6"/>
      <c r="L7" s="3">
        <v>2</v>
      </c>
      <c r="M7" s="1">
        <v>449</v>
      </c>
      <c r="N7" s="1">
        <v>98</v>
      </c>
      <c r="O7" s="1">
        <v>547</v>
      </c>
      <c r="P7" s="6"/>
      <c r="Q7" s="3">
        <v>3</v>
      </c>
      <c r="R7" s="1">
        <v>743</v>
      </c>
      <c r="S7" s="1">
        <v>125</v>
      </c>
      <c r="T7" s="1">
        <v>868</v>
      </c>
      <c r="U7" s="6"/>
      <c r="V7" s="6"/>
      <c r="W7" s="6"/>
    </row>
    <row r="8" spans="1:23" x14ac:dyDescent="0.3">
      <c r="A8">
        <f>AVERAGE(WA_Fn_UseC__HR_Employee_Attrition[YearsAtCompany])</f>
        <v>7.0081632653061225</v>
      </c>
      <c r="B8" s="3" t="s">
        <v>63</v>
      </c>
      <c r="C8" s="1">
        <v>1233</v>
      </c>
      <c r="D8" s="1">
        <v>237</v>
      </c>
      <c r="E8" s="1">
        <v>1470</v>
      </c>
      <c r="F8" s="6"/>
      <c r="G8" s="6"/>
      <c r="H8" s="6"/>
      <c r="I8" s="6"/>
      <c r="J8" s="6"/>
      <c r="K8" s="6"/>
      <c r="L8" s="3">
        <v>3</v>
      </c>
      <c r="M8" s="1">
        <v>422</v>
      </c>
      <c r="N8" s="1">
        <v>69</v>
      </c>
      <c r="O8" s="1">
        <v>491</v>
      </c>
      <c r="P8" s="6"/>
      <c r="Q8" s="3">
        <v>4</v>
      </c>
      <c r="R8" s="1">
        <v>131</v>
      </c>
      <c r="S8" s="1">
        <v>13</v>
      </c>
      <c r="T8" s="1">
        <v>144</v>
      </c>
      <c r="U8" s="6"/>
      <c r="V8" s="6"/>
      <c r="W8" s="6"/>
    </row>
    <row r="9" spans="1:23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>
        <v>4</v>
      </c>
      <c r="M9" s="1">
        <v>97</v>
      </c>
      <c r="N9" s="1">
        <v>26</v>
      </c>
      <c r="O9" s="1">
        <v>123</v>
      </c>
      <c r="P9" s="6"/>
      <c r="Q9" s="3" t="s">
        <v>63</v>
      </c>
      <c r="R9" s="1">
        <v>1233</v>
      </c>
      <c r="S9" s="1">
        <v>237</v>
      </c>
      <c r="T9" s="1">
        <v>1470</v>
      </c>
      <c r="U9" s="6"/>
      <c r="V9" s="6"/>
      <c r="W9" s="6"/>
    </row>
    <row r="10" spans="1:23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3">
        <v>5</v>
      </c>
      <c r="M10" s="1">
        <v>105</v>
      </c>
      <c r="N10" s="1">
        <v>14</v>
      </c>
      <c r="O10" s="1">
        <v>119</v>
      </c>
      <c r="P10" s="6"/>
      <c r="Q10" s="6"/>
      <c r="R10" s="6"/>
      <c r="S10" s="6"/>
      <c r="T10" s="6"/>
      <c r="U10" s="6"/>
      <c r="V10" s="6"/>
      <c r="W10" s="6"/>
    </row>
    <row r="11" spans="1:23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>
        <v>6</v>
      </c>
      <c r="M11" s="1">
        <v>59</v>
      </c>
      <c r="N11" s="1">
        <v>6</v>
      </c>
      <c r="O11" s="1">
        <v>65</v>
      </c>
      <c r="P11" s="6"/>
      <c r="Q11" s="6"/>
      <c r="R11" s="6"/>
      <c r="S11" s="6"/>
      <c r="T11" s="6"/>
      <c r="U11" s="6"/>
      <c r="V11" s="6"/>
      <c r="W11" s="6"/>
    </row>
    <row r="12" spans="1:23" x14ac:dyDescent="0.3">
      <c r="A12" s="6"/>
      <c r="B12" s="6"/>
      <c r="C12" s="6"/>
      <c r="D12" s="6"/>
      <c r="E12" s="2" t="s">
        <v>74</v>
      </c>
      <c r="F12" s="2" t="s">
        <v>64</v>
      </c>
      <c r="I12" s="6"/>
      <c r="J12" s="6"/>
      <c r="K12" s="6"/>
      <c r="L12" s="3" t="s">
        <v>63</v>
      </c>
      <c r="M12" s="1">
        <v>1233</v>
      </c>
      <c r="N12" s="1">
        <v>237</v>
      </c>
      <c r="O12" s="1">
        <v>1470</v>
      </c>
      <c r="P12" s="6"/>
      <c r="Q12" s="6"/>
      <c r="R12" s="6"/>
      <c r="S12" s="6"/>
      <c r="T12" s="6"/>
      <c r="U12" s="6"/>
      <c r="V12" s="6"/>
      <c r="W12" s="6"/>
    </row>
    <row r="13" spans="1:23" x14ac:dyDescent="0.3">
      <c r="A13" s="6"/>
      <c r="B13" s="6"/>
      <c r="C13" s="6"/>
      <c r="D13" s="6"/>
      <c r="E13" s="2" t="s">
        <v>62</v>
      </c>
      <c r="F13" t="s">
        <v>43</v>
      </c>
      <c r="G13" t="s">
        <v>35</v>
      </c>
      <c r="H13" t="s">
        <v>63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">
      <c r="A14" s="6"/>
      <c r="B14" s="6"/>
      <c r="C14" s="6"/>
      <c r="D14" s="6"/>
      <c r="E14" s="3">
        <v>0</v>
      </c>
      <c r="F14" s="1">
        <v>477</v>
      </c>
      <c r="G14" s="1">
        <v>154</v>
      </c>
      <c r="H14" s="1">
        <v>631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3">
      <c r="A15" s="6"/>
      <c r="B15" s="6"/>
      <c r="C15" s="6"/>
      <c r="D15" s="6"/>
      <c r="E15" s="3">
        <v>1</v>
      </c>
      <c r="F15" s="1">
        <v>540</v>
      </c>
      <c r="G15" s="1">
        <v>56</v>
      </c>
      <c r="H15" s="1">
        <v>596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3">
      <c r="A16" s="6"/>
      <c r="B16" s="6"/>
      <c r="C16" s="6"/>
      <c r="D16" s="6"/>
      <c r="E16" s="3">
        <v>2</v>
      </c>
      <c r="F16" s="1">
        <v>146</v>
      </c>
      <c r="G16" s="1">
        <v>12</v>
      </c>
      <c r="H16" s="1">
        <v>158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3">
      <c r="A17" s="6"/>
      <c r="B17" s="6"/>
      <c r="C17" s="6"/>
      <c r="D17" s="6"/>
      <c r="E17" s="3">
        <v>3</v>
      </c>
      <c r="F17" s="1">
        <v>70</v>
      </c>
      <c r="G17" s="1">
        <v>15</v>
      </c>
      <c r="H17" s="1">
        <v>85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6"/>
      <c r="B18" s="6"/>
      <c r="C18" s="6"/>
      <c r="D18" s="6"/>
      <c r="E18" s="3" t="s">
        <v>63</v>
      </c>
      <c r="F18" s="1">
        <v>1233</v>
      </c>
      <c r="G18" s="1">
        <v>237</v>
      </c>
      <c r="H18" s="1">
        <v>1470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s="7" customFormat="1" x14ac:dyDescent="0.3"/>
    <row r="43" spans="1:23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782BE-A8CD-4EDE-A31A-299F47F4A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 Wise Attrition</vt:lpstr>
      <vt:lpstr>Job Satisfaction by Job Role</vt:lpstr>
      <vt:lpstr>Gender-wise Attrition</vt:lpstr>
      <vt:lpstr>Sheet5</vt:lpstr>
      <vt:lpstr>HR-Employee-Attrition</vt:lpstr>
      <vt:lpstr>Average Age Who left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2026-06-18T06:30:44Z</dcterms:created>
  <dcterms:modified xsi:type="dcterms:W3CDTF">2026-06-18T09:04:02Z</dcterms:modified>
</cp:coreProperties>
</file>